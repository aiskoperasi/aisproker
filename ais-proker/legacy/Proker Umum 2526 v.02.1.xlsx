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Visi" sheetId="2" r:id="rId6"/>
    <sheet state="visible" name="Misi" sheetId="3" r:id="rId7"/>
    <sheet state="visible" name="Sasaran" sheetId="4" r:id="rId8"/>
    <sheet state="visible" name="StrukturOrganisasi" sheetId="5" r:id="rId9"/>
    <sheet state="visible" name="ProgramKerja" sheetId="6" r:id="rId10"/>
    <sheet state="visible" name="APBS" sheetId="7" r:id="rId11"/>
    <sheet state="visible" name="Investasi Unit" sheetId="8" r:id="rId12"/>
    <sheet state="visible" name="Rincian Anggaran" sheetId="9" r:id="rId13"/>
    <sheet state="visible" name="Anggaran Fix" sheetId="10" r:id="rId14"/>
  </sheets>
  <definedNames/>
  <calcPr/>
</workbook>
</file>

<file path=xl/sharedStrings.xml><?xml version="1.0" encoding="utf-8"?>
<sst xmlns="http://schemas.openxmlformats.org/spreadsheetml/2006/main" count="2603" uniqueCount="804">
  <si>
    <t>Email</t>
  </si>
  <si>
    <t>Nama</t>
  </si>
  <si>
    <t>Role</t>
  </si>
  <si>
    <t>Unit</t>
  </si>
  <si>
    <t>umum@annahl-islamic.sch.id</t>
  </si>
  <si>
    <t>Super Admin</t>
  </si>
  <si>
    <t>Admin</t>
  </si>
  <si>
    <t>All</t>
  </si>
  <si>
    <t>ananda@annahl-islamic.sch.id</t>
  </si>
  <si>
    <t>Admin SD</t>
  </si>
  <si>
    <t>PIC</t>
  </si>
  <si>
    <t>SD</t>
  </si>
  <si>
    <t>ametriyadhi@annahl-islamic.sch.id</t>
  </si>
  <si>
    <t>Admin Litbang</t>
  </si>
  <si>
    <t>Litbang dan SMM</t>
  </si>
  <si>
    <t>rahmad@annahl-islamic.sch.id</t>
  </si>
  <si>
    <t>Admin SMP</t>
  </si>
  <si>
    <t>SMP</t>
  </si>
  <si>
    <t>sani@annahl-islamic.sch.id</t>
  </si>
  <si>
    <t>Admin PGTK</t>
  </si>
  <si>
    <t>PGTK</t>
  </si>
  <si>
    <t>japar@annahl-islamic.sch.id</t>
  </si>
  <si>
    <t>Admin SMA</t>
  </si>
  <si>
    <t>SMA</t>
  </si>
  <si>
    <t>ariefrn@annahl-islamic.sch.id</t>
  </si>
  <si>
    <t>User  SDM</t>
  </si>
  <si>
    <t>SDM</t>
  </si>
  <si>
    <t>ruri@annahl-islamic.sch.id</t>
  </si>
  <si>
    <t>User Litbang</t>
  </si>
  <si>
    <t>fadli@annahl-islamic.sch.id</t>
  </si>
  <si>
    <t>Admin Marketing</t>
  </si>
  <si>
    <t>Marketing</t>
  </si>
  <si>
    <t>Menjadi bagian umum yang profesional dalam memberikan layanan prima untuk mendukung kegiatan belajar mengajar di An Nahl Islamic School</t>
  </si>
  <si>
    <t>Menyediakan dan memelihara sarana prasarana yang mendukung kegiatan belajar mengajar</t>
  </si>
  <si>
    <t>Memberikan pelayanan pengadaan barang dan jasa yang efektif dan efisien</t>
  </si>
  <si>
    <t>Menciptakan lingkungan sekolah yang aman, nyaman, bersih dan indah</t>
  </si>
  <si>
    <t>Memberikan layanan umum yang responsif dan profesional</t>
  </si>
  <si>
    <t>ID</t>
  </si>
  <si>
    <t>Sasaran Mutu</t>
  </si>
  <si>
    <t>Target</t>
  </si>
  <si>
    <t>Periode</t>
  </si>
  <si>
    <t>Metode</t>
  </si>
  <si>
    <t>S-001</t>
  </si>
  <si>
    <t>Terlaksananya 90% Pengadaan dan Perbaikan Gedung dan Sarana Prasarana KBM</t>
  </si>
  <si>
    <t>Tahunan dan Bulanan</t>
  </si>
  <si>
    <t>Melaksanakan permintaan pengadaan dan perbaikan sarpras dari tiap-tiap unit</t>
  </si>
  <si>
    <t>S-002</t>
  </si>
  <si>
    <t>Terlaksananya 95% Permintaan Pengadaan Barang dan Jasa.</t>
  </si>
  <si>
    <t>Ketersediaan sistem, Laporan Progres Berkala, Dokumentasi</t>
  </si>
  <si>
    <t>S-003</t>
  </si>
  <si>
    <t>Tercapainya 95% Pemeliharaan dan Perbaikan Fasilitas KBM</t>
  </si>
  <si>
    <t>S-004</t>
  </si>
  <si>
    <t>Tercapainya minimal 90% ketersediaan dan kelancaran Layanan Umum</t>
  </si>
  <si>
    <t>S-005</t>
  </si>
  <si>
    <t>Terciptanya 90% keamanan, kenyamanan, dan kondusifitas KBM</t>
  </si>
  <si>
    <t>Laporan Buku Piket Security, Laporan Check Point</t>
  </si>
  <si>
    <t>S-006</t>
  </si>
  <si>
    <t>Terwujudnya 90% kebersihan dan keindahan Sekolah</t>
  </si>
  <si>
    <t>Ceklist Monitoring dan Pemeliharaan, Laporan ceklist kebersihan, Laporan Check Point</t>
  </si>
  <si>
    <t>Jabatan</t>
  </si>
  <si>
    <t>Kepala Bagian Umum</t>
  </si>
  <si>
    <t>Slamet Haryadi</t>
  </si>
  <si>
    <t>Koordinator Security</t>
  </si>
  <si>
    <t>Jaka</t>
  </si>
  <si>
    <t>Koordinator OB</t>
  </si>
  <si>
    <t>Masdik</t>
  </si>
  <si>
    <t>Penanggung Jawab Sarpras</t>
  </si>
  <si>
    <t>Anen</t>
  </si>
  <si>
    <t>Anggota Security</t>
  </si>
  <si>
    <t>Tim Security</t>
  </si>
  <si>
    <t>Anggota OB</t>
  </si>
  <si>
    <t>Tim OB</t>
  </si>
  <si>
    <t>Nama Induk</t>
  </si>
  <si>
    <t>Nama Sub-Prom</t>
  </si>
  <si>
    <t>Tipe</t>
  </si>
  <si>
    <t>IndukID</t>
  </si>
  <si>
    <t>PJ</t>
  </si>
  <si>
    <t>Timeline</t>
  </si>
  <si>
    <t>Prioritas</t>
  </si>
  <si>
    <t>Anggaran</t>
  </si>
  <si>
    <t>Catatan</t>
  </si>
  <si>
    <t>Status</t>
  </si>
  <si>
    <t>Jumlah</t>
  </si>
  <si>
    <t>P-001</t>
  </si>
  <si>
    <t xml:space="preserve">Pengadaan dan Perbaikan Sarana dan Prasarana </t>
  </si>
  <si>
    <t>Pengadaan dan Perbaikan sarana prasarana pennunjang KBM sesuai dengan kebutuhan</t>
  </si>
  <si>
    <t>Induk</t>
  </si>
  <si>
    <t>PIC Sarpras Umum</t>
  </si>
  <si>
    <t>20 Juni - 10 Juli 2025</t>
  </si>
  <si>
    <t>Belum Dimulai</t>
  </si>
  <si>
    <t>P-002</t>
  </si>
  <si>
    <t>Pengadaan Barang dan Jasa</t>
  </si>
  <si>
    <t>Pengadaan semua kebutuhan yang dapat mensupport KBM sesuai dengan permintaan unit</t>
  </si>
  <si>
    <t>1 Juli 2025</t>
  </si>
  <si>
    <t>P-003</t>
  </si>
  <si>
    <t>Pemeliharaan dan Perbaikan</t>
  </si>
  <si>
    <t>Pemeliharaan baik yang bersifat rutin atau berkala dan perbaikan fasilitas pendukung kbm</t>
  </si>
  <si>
    <t>Tiap Bulan</t>
  </si>
  <si>
    <t>P-004</t>
  </si>
  <si>
    <t>Layanan Penggunaan Fasilitas</t>
  </si>
  <si>
    <t>Pelayanan Penggunaan Fasilitas Umum Bersama dan Fasilitas Penunjang KBM</t>
  </si>
  <si>
    <t>P-005</t>
  </si>
  <si>
    <t>Peminjaman dan Pengmbalian Barang</t>
  </si>
  <si>
    <t>Pelayanan Peminjaman Barang untuk Support Kegiatan Unit</t>
  </si>
  <si>
    <t>P-006</t>
  </si>
  <si>
    <t>Penggunaan Barang Habi Pakai</t>
  </si>
  <si>
    <t>Pelayanan Penyediaan Barang Habis Pakai untuk kelancaran Kegiatan Pembelajaran</t>
  </si>
  <si>
    <t>P-007</t>
  </si>
  <si>
    <t>Keamanan, Kenyamanan dan Kondusifitas Lingkungan Sekolah</t>
  </si>
  <si>
    <t>P-008</t>
  </si>
  <si>
    <t>Kebersihan dan Keindahan Sekolah</t>
  </si>
  <si>
    <t>P-009</t>
  </si>
  <si>
    <t>Pembinaan Anggota Security dan Tim OB</t>
  </si>
  <si>
    <t>Pelatihan dan Pembinaan Anggota Security dan Tim OB untuk peningkatan kinerja dan ibadah</t>
  </si>
  <si>
    <t>SUB-001</t>
  </si>
  <si>
    <t>Pembuatan Rangka Spanduk (Samping Koperasi &amp; Perpustakaan)</t>
  </si>
  <si>
    <t>Sub</t>
  </si>
  <si>
    <t>Sedang</t>
  </si>
  <si>
    <t>SUB-002</t>
  </si>
  <si>
    <t>Perbaikan Umbul2</t>
  </si>
  <si>
    <t>SUB-003</t>
  </si>
  <si>
    <t>Pembuatan Catur Jalan Pedestrian</t>
  </si>
  <si>
    <t>Umum</t>
  </si>
  <si>
    <t>SUB-004</t>
  </si>
  <si>
    <t>Perbaikan Jalan Utama Berlubang</t>
  </si>
  <si>
    <t>SUB-005</t>
  </si>
  <si>
    <t>Pemasangan Paping Block Playground SD (Kapal)</t>
  </si>
  <si>
    <t>Ecopark</t>
  </si>
  <si>
    <t>Tinggi</t>
  </si>
  <si>
    <t>SUB-006</t>
  </si>
  <si>
    <t>Perbaikan Talang di Saung An Nur</t>
  </si>
  <si>
    <t>SUB-007</t>
  </si>
  <si>
    <t>Pengecetan Ruang Kelas Gedung C Lantai 1</t>
  </si>
  <si>
    <t>SUB-009</t>
  </si>
  <si>
    <t>Pengecetan Gedung B Luar</t>
  </si>
  <si>
    <t>SUB-010</t>
  </si>
  <si>
    <t>Pengecatan Lorong SD Warna Ceria</t>
  </si>
  <si>
    <t>SUB-011</t>
  </si>
  <si>
    <t>Perbaikan Tempat Wudhu SD Lantai 1</t>
  </si>
  <si>
    <t>SUB-012</t>
  </si>
  <si>
    <t>Pengecetan Lorong Lantai 3 Gedung B</t>
  </si>
  <si>
    <t>SUB-013</t>
  </si>
  <si>
    <t>Ganti list kemarik Tangga Gedung B</t>
  </si>
  <si>
    <t>SUB-014</t>
  </si>
  <si>
    <t>Perbaikan Perpustakaan SD</t>
  </si>
  <si>
    <t>SUB-015</t>
  </si>
  <si>
    <t>Perbaikan Ruang FO</t>
  </si>
  <si>
    <t>SUB-016</t>
  </si>
  <si>
    <t>Kanopi Keliling area sekolah</t>
  </si>
  <si>
    <t>SUB-017</t>
  </si>
  <si>
    <t>Koperasi Sekolah</t>
  </si>
  <si>
    <t>SUB-018</t>
  </si>
  <si>
    <t>Pos Security</t>
  </si>
  <si>
    <t>SUB-019</t>
  </si>
  <si>
    <t>Kantin Sekolah</t>
  </si>
  <si>
    <t>SUB-020</t>
  </si>
  <si>
    <t>SUB-021</t>
  </si>
  <si>
    <t>Perpus dan Lab gedung C</t>
  </si>
  <si>
    <t>SMP &amp; SMA</t>
  </si>
  <si>
    <t>SUB-022</t>
  </si>
  <si>
    <t>Central Blower PGTK (Aula TK)</t>
  </si>
  <si>
    <t>SUB-023</t>
  </si>
  <si>
    <t>CCTV Area Ecopark</t>
  </si>
  <si>
    <t>SUB-024</t>
  </si>
  <si>
    <t xml:space="preserve">Perbaikan Pedestrian </t>
  </si>
  <si>
    <t>Rendah</t>
  </si>
  <si>
    <t>SUB-025</t>
  </si>
  <si>
    <t>CCTV SMP 2 titik</t>
  </si>
  <si>
    <t>SUB-026</t>
  </si>
  <si>
    <t xml:space="preserve">Revarasi Sofa Hexagon SD </t>
  </si>
  <si>
    <t>SUB-027</t>
  </si>
  <si>
    <t>Revarasi Sofa Lobi SMP</t>
  </si>
  <si>
    <t>SUB-028</t>
  </si>
  <si>
    <t>Pembuatan tempat wudhu lantai 2 ISBI</t>
  </si>
  <si>
    <t>SUB-029</t>
  </si>
  <si>
    <t>Pengadaan Laptop untuk Admin IT (Laptop yang ada sudah sering hang karena laptop limpahan dari  tim kreatif sudah sering ngehang)</t>
  </si>
  <si>
    <t>2 Juli 2025</t>
  </si>
  <si>
    <t>SUB-030</t>
  </si>
  <si>
    <t xml:space="preserve">Pengadaan Plaud AI Note untuk notulensi rapat </t>
  </si>
  <si>
    <t>3 Juli 2025</t>
  </si>
  <si>
    <t>SUB-031</t>
  </si>
  <si>
    <t>Kipas plafon</t>
  </si>
  <si>
    <t>PIC Unit PGTK</t>
  </si>
  <si>
    <t>Juli 2025</t>
  </si>
  <si>
    <t>Low</t>
  </si>
  <si>
    <t>SUB-032</t>
  </si>
  <si>
    <t>Jam dinding</t>
  </si>
  <si>
    <t>ruang inklusi</t>
  </si>
  <si>
    <t>SUB-033</t>
  </si>
  <si>
    <t>Meja kayu panjang lesehan</t>
  </si>
  <si>
    <t>High</t>
  </si>
  <si>
    <t>rusak/ keropos</t>
  </si>
  <si>
    <t>SUB-034</t>
  </si>
  <si>
    <t>Loker anak</t>
  </si>
  <si>
    <t>Medium</t>
  </si>
  <si>
    <t>dicat ulang</t>
  </si>
  <si>
    <t>SUB-035</t>
  </si>
  <si>
    <t>Karpet puzzle</t>
  </si>
  <si>
    <t>ngelupas. 1m x 1m x 2cm</t>
  </si>
  <si>
    <t>SUB-036</t>
  </si>
  <si>
    <t>Lemari file</t>
  </si>
  <si>
    <t>arsip inklusi</t>
  </si>
  <si>
    <t>SUB-037</t>
  </si>
  <si>
    <t>Laptop</t>
  </si>
  <si>
    <t>laptop inventaris tk dibawa sama kepala sekolah sebelumnya, butuh untuk kegiatan besar. Laptop guru guru kurang memadai.</t>
  </si>
  <si>
    <t>SUB-038</t>
  </si>
  <si>
    <t>Whiteboard kecil</t>
  </si>
  <si>
    <t>SUB-039</t>
  </si>
  <si>
    <t>Bak pasir tertutup</t>
  </si>
  <si>
    <t>bak pasir yang sekarang sering banyak kotoran kucing</t>
  </si>
  <si>
    <t>SUB-040</t>
  </si>
  <si>
    <t>Ayunan indoor</t>
  </si>
  <si>
    <t>kain nya sobek belel/tidak bisa dijahit, harus ganti kain</t>
  </si>
  <si>
    <t>SUB-041</t>
  </si>
  <si>
    <t>Perosotan indoor</t>
  </si>
  <si>
    <t>slidingnya pecah di bagian sisi kanan-kiri, beli baru</t>
  </si>
  <si>
    <t>SUB-042</t>
  </si>
  <si>
    <t>Meja belajar anak</t>
  </si>
  <si>
    <t>meja persegi panjang warna biru. yang sebelumnya sudah rusak</t>
  </si>
  <si>
    <t>SUB-043</t>
  </si>
  <si>
    <t>Meja mengaji plastik</t>
  </si>
  <si>
    <t>warna biru. yang sebelumnya banyak yang pecah</t>
  </si>
  <si>
    <t>SUB-044</t>
  </si>
  <si>
    <t>Papan titian</t>
  </si>
  <si>
    <t>keropos sehingga banyak yang patah</t>
  </si>
  <si>
    <t>SUB-045</t>
  </si>
  <si>
    <t>Softboard</t>
  </si>
  <si>
    <t>papan tema ukuran kecil (seukuran whiteboard). 60 x 90</t>
  </si>
  <si>
    <t>SUB-046</t>
  </si>
  <si>
    <t>Matras olahraga</t>
  </si>
  <si>
    <t>untuk ruang inklusi. Biru 1m x 2m x 10cm.</t>
  </si>
  <si>
    <t>SUB-047</t>
  </si>
  <si>
    <t>Box Container mainan</t>
  </si>
  <si>
    <t>PIC Unit SD</t>
  </si>
  <si>
    <t>Agar mainan di kelas tersimpan dengan baik</t>
  </si>
  <si>
    <t>SUB-048</t>
  </si>
  <si>
    <t>Cat dinding tembok kelas/koridor yg kotor dengan warna yang cerah kombinasi</t>
  </si>
  <si>
    <t>Dinding terlihat kotor perlu di cat ulang</t>
  </si>
  <si>
    <t>SUB-049</t>
  </si>
  <si>
    <t>Puzzle playmate untuk pojok baca</t>
  </si>
  <si>
    <t>Karena tidak ada</t>
  </si>
  <si>
    <t>SUB-050</t>
  </si>
  <si>
    <t>Meja piket depan gedung SD</t>
  </si>
  <si>
    <t>Karena kayu meja sompel2</t>
  </si>
  <si>
    <t>SUB-051</t>
  </si>
  <si>
    <t>Kursi Guru</t>
  </si>
  <si>
    <t>Banyak yang sudah jelek</t>
  </si>
  <si>
    <t>SUB-052</t>
  </si>
  <si>
    <t>Serving plate (bertutup)</t>
  </si>
  <si>
    <t>SUB-053</t>
  </si>
  <si>
    <t>Rak buku sirkulasi 2 baris</t>
  </si>
  <si>
    <t>Untuk perpustakaan</t>
  </si>
  <si>
    <t>SUB-054</t>
  </si>
  <si>
    <t>Meja sirkulasi</t>
  </si>
  <si>
    <t>SUB-055</t>
  </si>
  <si>
    <t>Kursi Pustakawan</t>
  </si>
  <si>
    <t>SUB-056</t>
  </si>
  <si>
    <t>Rak buku putar</t>
  </si>
  <si>
    <t>SUB-057</t>
  </si>
  <si>
    <t>Meja Pemustaka (meja lesehan)</t>
  </si>
  <si>
    <t>SUB-058</t>
  </si>
  <si>
    <t>Whiteboard roda</t>
  </si>
  <si>
    <t>SUB-059</t>
  </si>
  <si>
    <t>Lemari gantung mading softboard</t>
  </si>
  <si>
    <t>SUB-060</t>
  </si>
  <si>
    <t>Metal Filling Cabinet</t>
  </si>
  <si>
    <t>SUB-061</t>
  </si>
  <si>
    <t>Lemari besi</t>
  </si>
  <si>
    <t>yg lama rusak krn rayap</t>
  </si>
  <si>
    <t>SUB-062</t>
  </si>
  <si>
    <t>Rak dokumen besi uk 2 x 3 meter</t>
  </si>
  <si>
    <t>SUB-063</t>
  </si>
  <si>
    <t>Paving di bawah jungkat jungkit</t>
  </si>
  <si>
    <t>becek/kumuh saat hujan/tanah basah</t>
  </si>
  <si>
    <t>SUB-064</t>
  </si>
  <si>
    <t>Model kerangka manusia</t>
  </si>
  <si>
    <t>Untuk model ajar IPAS</t>
  </si>
  <si>
    <t>SUB-065</t>
  </si>
  <si>
    <t>Papan tulis kelas</t>
  </si>
  <si>
    <t>sudah jelek dan kembung</t>
  </si>
  <si>
    <t>SUB-066</t>
  </si>
  <si>
    <t>Wireless speaker</t>
  </si>
  <si>
    <t>Butuh wireless speaker untuk kegiatan outdoor</t>
  </si>
  <si>
    <t>SUB-067</t>
  </si>
  <si>
    <t>Jas lab</t>
  </si>
  <si>
    <t>Untuk pengadaan di laboratorium</t>
  </si>
  <si>
    <t>SUB-068</t>
  </si>
  <si>
    <t>Laptop humas</t>
  </si>
  <si>
    <t>Butuh laptop dari sekolah untuk membuat konten dsb</t>
  </si>
  <si>
    <t>SUB-069</t>
  </si>
  <si>
    <t>Laptop kepsek</t>
  </si>
  <si>
    <t>Laptop sudah lemot</t>
  </si>
  <si>
    <t>SUB-070</t>
  </si>
  <si>
    <t>HP humas</t>
  </si>
  <si>
    <t>Butuh hp spek yang bagus untuk konten video dsb</t>
  </si>
  <si>
    <t>SUB-071</t>
  </si>
  <si>
    <t>Lemari gantung lab</t>
  </si>
  <si>
    <t>SUB-072</t>
  </si>
  <si>
    <t>Perpustakaan area</t>
  </si>
  <si>
    <t>SUB-073</t>
  </si>
  <si>
    <t>Kasur UKS</t>
  </si>
  <si>
    <t>Kasur UKS sudah kurang bagus</t>
  </si>
  <si>
    <t>SUB-074</t>
  </si>
  <si>
    <t>Termometer suhu</t>
  </si>
  <si>
    <t>Untuk UKS</t>
  </si>
  <si>
    <t>SUB-075</t>
  </si>
  <si>
    <t>Alat ukur Hb</t>
  </si>
  <si>
    <t>SUB-076</t>
  </si>
  <si>
    <t>Alkohol swab</t>
  </si>
  <si>
    <t>SUB-077</t>
  </si>
  <si>
    <t>Test strips</t>
  </si>
  <si>
    <t>SUB-078</t>
  </si>
  <si>
    <t>Alat ukur tinggi badan</t>
  </si>
  <si>
    <t>SUB-079</t>
  </si>
  <si>
    <t>Bola basket</t>
  </si>
  <si>
    <t>Untuk KBM PJOK</t>
  </si>
  <si>
    <t>SUB-080</t>
  </si>
  <si>
    <t>Bola basket kecil</t>
  </si>
  <si>
    <t>SUB-081</t>
  </si>
  <si>
    <t>Bola tangan</t>
  </si>
  <si>
    <t>SUB-082</t>
  </si>
  <si>
    <t>Bola voli</t>
  </si>
  <si>
    <t>SUB-083</t>
  </si>
  <si>
    <t>Pemukul bola kasti</t>
  </si>
  <si>
    <t>SUB-084</t>
  </si>
  <si>
    <t>Bola kasti</t>
  </si>
  <si>
    <t>SUB-085</t>
  </si>
  <si>
    <t>Alat peraga qur'an</t>
  </si>
  <si>
    <t>Untuk program Qur'an</t>
  </si>
  <si>
    <t>SUB-086</t>
  </si>
  <si>
    <t>Tiang peraga di kelas</t>
  </si>
  <si>
    <t>SUB-087</t>
  </si>
  <si>
    <t>Tiang peraga di saung</t>
  </si>
  <si>
    <t>SUB-088</t>
  </si>
  <si>
    <t>Spanduk capaian qur'an</t>
  </si>
  <si>
    <t>SUB-089</t>
  </si>
  <si>
    <t>Bindex arsip</t>
  </si>
  <si>
    <t>SUB-090</t>
  </si>
  <si>
    <t>Taplak meja</t>
  </si>
  <si>
    <t>Untuk menutup meja saat pengambilan rapor dan kegiatan2</t>
  </si>
  <si>
    <t>SUB-091</t>
  </si>
  <si>
    <t>Perbaikan keramik tempat wudhu</t>
  </si>
  <si>
    <t>SUB-092</t>
  </si>
  <si>
    <t>Pagar (jaring) lapangan sisi depan perpustakaan</t>
  </si>
  <si>
    <t>SUB-093</t>
  </si>
  <si>
    <t>Cermin cembung indoor</t>
  </si>
  <si>
    <t>Untuk di perpustakaan</t>
  </si>
  <si>
    <t>SUB-094</t>
  </si>
  <si>
    <t>AC untuk perpustakaan</t>
  </si>
  <si>
    <t>SUB-095</t>
  </si>
  <si>
    <t>Lemari arsip besi</t>
  </si>
  <si>
    <t>Untuk di gudang 2, dan di ruang guru akhwat 1</t>
  </si>
  <si>
    <t>SUB-096</t>
  </si>
  <si>
    <t>Meja display lengkung</t>
  </si>
  <si>
    <t>Untuk display karya siswa di lobby</t>
  </si>
  <si>
    <t>SUB-097</t>
  </si>
  <si>
    <t>Perbaikan meja resepsionis SD</t>
  </si>
  <si>
    <t>Meja resepsionis SD lapisan kayunya banyak yang terkelupas</t>
  </si>
  <si>
    <t>SUB-098</t>
  </si>
  <si>
    <t>Wallpaper peta</t>
  </si>
  <si>
    <t>Untuk di koridor tiap lantai dipasang wallpaper peta</t>
  </si>
  <si>
    <t>SUB-099</t>
  </si>
  <si>
    <t>Lemari alat peraga lab</t>
  </si>
  <si>
    <t>Untuk pengadaan lab</t>
  </si>
  <si>
    <t>SUB-100</t>
  </si>
  <si>
    <t>Standing mic</t>
  </si>
  <si>
    <t>SD tidak punya standing mic</t>
  </si>
  <si>
    <t>SUB-101</t>
  </si>
  <si>
    <t>Printer</t>
  </si>
  <si>
    <t>Untuk cadangan jika ada printer rusak</t>
  </si>
  <si>
    <t>SUB-102</t>
  </si>
  <si>
    <t>Termos</t>
  </si>
  <si>
    <t>Untuk kegiatan</t>
  </si>
  <si>
    <t>SUB-103</t>
  </si>
  <si>
    <t>Penggantian keramik tangga</t>
  </si>
  <si>
    <t>SUB-104</t>
  </si>
  <si>
    <t>Penggantian keramik toilet perpustakaan</t>
  </si>
  <si>
    <t>SUB-105</t>
  </si>
  <si>
    <t>Perbaikan area panggung perpustakaan</t>
  </si>
  <si>
    <t>SUB-106</t>
  </si>
  <si>
    <t>Perbaikan dinding yang bolong</t>
  </si>
  <si>
    <t>SUB-107</t>
  </si>
  <si>
    <t>Wireless mic</t>
  </si>
  <si>
    <t>SUB-108</t>
  </si>
  <si>
    <t>Mural dinding perpustakaan</t>
  </si>
  <si>
    <t>SUB-109</t>
  </si>
  <si>
    <t>Pengadan Barang dan Jasa</t>
  </si>
  <si>
    <t>Mesin Pulisher Lantai (Krisbow/110 watt)</t>
  </si>
  <si>
    <t>PIC Umum</t>
  </si>
  <si>
    <t>SUB-110</t>
  </si>
  <si>
    <t>Pengadaan UPS untuk Server Sekolah</t>
  </si>
  <si>
    <t>SUB-111</t>
  </si>
  <si>
    <t>Pemeliharaan Rutin dan Berkala ( Gedung, Instalasi Listrik, Maintenance AC,
Kolam renang (kualitas air, kebersihan), Ruangan dan Toilet dan Fasilitas Pendukung lainnya (Karpet, Kipas dll)</t>
  </si>
  <si>
    <t>Harian/ Bulanan/ Semesteran</t>
  </si>
  <si>
    <t>SUB-112</t>
  </si>
  <si>
    <t>Pemeliharaan Preventif (Inspeksi berkala (kondisi gedung, atap, plafon, Instalasi Listrik, drainase), Perawatan Teknologi (server, Wifi dan Perangkat Jaringan) Refil Apar)</t>
  </si>
  <si>
    <t>Bulanan/ Semesteran</t>
  </si>
  <si>
    <t>SUB-113</t>
  </si>
  <si>
    <t>Sistem Respon Cepat Permintaan Perbaikan (Portal layanan, Tim Teknis dan Stok cadangan (lampu, keran, saklar dll)</t>
  </si>
  <si>
    <t>Sesuai Permintaan</t>
  </si>
  <si>
    <t>SUB-114</t>
  </si>
  <si>
    <t>Pengelolaan Aset dan Inventarisasi</t>
  </si>
  <si>
    <t>Bulanan/ Semesteran/Tahunan</t>
  </si>
  <si>
    <t>SUB-115</t>
  </si>
  <si>
    <t>Update Layanan Penggunaan Fasilitas (Portal Layanan Umum)</t>
  </si>
  <si>
    <t>Kabag Umum</t>
  </si>
  <si>
    <t>SUB-116</t>
  </si>
  <si>
    <t>Monitoring Sistem Layanan Penggunaan Fasilitas (Approval)</t>
  </si>
  <si>
    <t>SUB-117</t>
  </si>
  <si>
    <t>Pembuatan Sistem Layanan Peminjaman dan Pengembalian Barang</t>
  </si>
  <si>
    <t>Koord OB</t>
  </si>
  <si>
    <t>SUB-118</t>
  </si>
  <si>
    <t>Monitoring Sistem Layanan Peminjaman dan Pengembalian Barang (Approval)</t>
  </si>
  <si>
    <t>SUB-119</t>
  </si>
  <si>
    <t>Pembelian Stock Barang Habis Pakai</t>
  </si>
  <si>
    <t>Bulanan</t>
  </si>
  <si>
    <t>SUB-120</t>
  </si>
  <si>
    <t>Monitoritng Ketersediaan Stock Barang Habis Pakai</t>
  </si>
  <si>
    <t>SUB-121</t>
  </si>
  <si>
    <t>Pelayanana Distribusi Barang Habis Pakai</t>
  </si>
  <si>
    <t>SUB-122</t>
  </si>
  <si>
    <t>Pembuatan dan Pelaksanaan Jadwal Piket Security</t>
  </si>
  <si>
    <t>Koord Security</t>
  </si>
  <si>
    <t>SUB-123</t>
  </si>
  <si>
    <t xml:space="preserve">Sistem Absensi dan Laporan Check Point </t>
  </si>
  <si>
    <t>SUB-124</t>
  </si>
  <si>
    <t>Penambahan CCTV untuk Area Ecopark dan Area Blank di Unit SMP</t>
  </si>
  <si>
    <t>SUB-125</t>
  </si>
  <si>
    <t>Monitoring Kebersihan Ruangan dan Toilet (Checklist Monitoring)</t>
  </si>
  <si>
    <t>SUB-126</t>
  </si>
  <si>
    <t>Sistem Laporan Check Point Kebersihan Toilet</t>
  </si>
  <si>
    <t>SUB-127</t>
  </si>
  <si>
    <t>Briefing Pekanan untuk OB</t>
  </si>
  <si>
    <t>Pekanan</t>
  </si>
  <si>
    <t>SUB-128</t>
  </si>
  <si>
    <t>Olahraga Pekanan untuk Security</t>
  </si>
  <si>
    <t>SUB-129</t>
  </si>
  <si>
    <t>Pengajian Bulanan untuk Security dan OB</t>
  </si>
  <si>
    <t>SUB-130</t>
  </si>
  <si>
    <t>Penambahan RAM Server Lokal untuk pemanfataan Sistem Aplikasi Sekolah</t>
  </si>
  <si>
    <t>Slamet Haryadii</t>
  </si>
  <si>
    <t>SUB-131</t>
  </si>
  <si>
    <t>Partisi siswa</t>
  </si>
  <si>
    <t>PIC Unit</t>
  </si>
  <si>
    <t>Untuk kelas XII IPA dan IPS</t>
  </si>
  <si>
    <t>SUB-132</t>
  </si>
  <si>
    <t>Meja Guru</t>
  </si>
  <si>
    <t>Guru+admin 6 Kelas baru 2</t>
  </si>
  <si>
    <t>SUB-133</t>
  </si>
  <si>
    <t>Guru+admin 6 Kelas baru 3</t>
  </si>
  <si>
    <t>SUB-134</t>
  </si>
  <si>
    <t>White board</t>
  </si>
  <si>
    <t>Kelas XI IPS dan Kelas X</t>
  </si>
  <si>
    <t>SUB-135</t>
  </si>
  <si>
    <t>SUB-136</t>
  </si>
  <si>
    <t>Projektor</t>
  </si>
  <si>
    <t>SUB-137</t>
  </si>
  <si>
    <t>SUB-138</t>
  </si>
  <si>
    <t>Gambar presiden, wakil dan garuda</t>
  </si>
  <si>
    <t>SUB-139</t>
  </si>
  <si>
    <t>Kotak P3K</t>
  </si>
  <si>
    <t>SUB-140</t>
  </si>
  <si>
    <t>Lemari Arsip</t>
  </si>
  <si>
    <t>SUB-141</t>
  </si>
  <si>
    <t>Rak sepatu</t>
  </si>
  <si>
    <t>SUB-142</t>
  </si>
  <si>
    <t>Tempat Sampah kls</t>
  </si>
  <si>
    <t>SUB-143</t>
  </si>
  <si>
    <t>Tempat sampah lorong</t>
  </si>
  <si>
    <t>SUB-144</t>
  </si>
  <si>
    <t>Mebelar Lab</t>
  </si>
  <si>
    <t>SUB-145</t>
  </si>
  <si>
    <t>Karpet</t>
  </si>
  <si>
    <t>SUB-146</t>
  </si>
  <si>
    <t>Loker</t>
  </si>
  <si>
    <t>SUB-147</t>
  </si>
  <si>
    <t>Rak Buku Perpus</t>
  </si>
  <si>
    <t>SUB-148</t>
  </si>
  <si>
    <t>SUB-149</t>
  </si>
  <si>
    <t>Layar Proyektor</t>
  </si>
  <si>
    <t>SUB-150</t>
  </si>
  <si>
    <t>Rak keranjang</t>
  </si>
  <si>
    <t>SUB-151</t>
  </si>
  <si>
    <t>Laptop Dapodik</t>
  </si>
  <si>
    <t>SUB-152</t>
  </si>
  <si>
    <t>Lemari piala</t>
  </si>
  <si>
    <t>SUB-154</t>
  </si>
  <si>
    <t>Penyediaan gantungan yang mudah diakses oleh siswa PGTK di toilet</t>
  </si>
  <si>
    <t>SUB-155</t>
  </si>
  <si>
    <t>Kursi Guru di kelas</t>
  </si>
  <si>
    <t>PIC Unit SMP</t>
  </si>
  <si>
    <t>untuk duduk guru di kelas</t>
  </si>
  <si>
    <t>SUB-156</t>
  </si>
  <si>
    <t>Kursi Guru di ruang guru</t>
  </si>
  <si>
    <t>Fasilitas kerja guru, yang lama masih bervariasi dan mayoritas memakai kursi siswa</t>
  </si>
  <si>
    <t>SUB-157</t>
  </si>
  <si>
    <t>Meja Guru R. ICT</t>
  </si>
  <si>
    <t>SUB-158</t>
  </si>
  <si>
    <t>Kursi guru R. ICT</t>
  </si>
  <si>
    <t>SUB-159</t>
  </si>
  <si>
    <t>Belum ada</t>
  </si>
  <si>
    <t>SUB-160</t>
  </si>
  <si>
    <t>Rak Folder</t>
  </si>
  <si>
    <t>SUB-161</t>
  </si>
  <si>
    <t>SUB-162</t>
  </si>
  <si>
    <t>Lemari 4 pintu</t>
  </si>
  <si>
    <t>SUB-163</t>
  </si>
  <si>
    <t>Lemari penyimpanan laptop bersusun</t>
  </si>
  <si>
    <t>Agar laptop tidak bertumpuk</t>
  </si>
  <si>
    <t>SUB-164</t>
  </si>
  <si>
    <t>Karpet kelas</t>
  </si>
  <si>
    <t>Belum ada yang baru, yang lama sudah berbulu</t>
  </si>
  <si>
    <t>SUB-165</t>
  </si>
  <si>
    <t>Mesin penghancur kertas</t>
  </si>
  <si>
    <t>SUB-166</t>
  </si>
  <si>
    <t>Mesin laminating</t>
  </si>
  <si>
    <t>SUB-167</t>
  </si>
  <si>
    <t>Printer+scanner Epson L 5290</t>
  </si>
  <si>
    <t>ruang guru Ikhwan</t>
  </si>
  <si>
    <t>SUB-168</t>
  </si>
  <si>
    <t>Pengadaan kunci di meja guru</t>
  </si>
  <si>
    <t>SUB-169</t>
  </si>
  <si>
    <t>Dispenser Ruang Guru Akhwat</t>
  </si>
  <si>
    <t>SUB-170</t>
  </si>
  <si>
    <t>Kabel HDMI 25 Meter vention</t>
  </si>
  <si>
    <t>untuk 11 kelas</t>
  </si>
  <si>
    <t>SUB-171</t>
  </si>
  <si>
    <t>EXAGON (Ex 8D)</t>
  </si>
  <si>
    <t>dibawa ke SMA</t>
  </si>
  <si>
    <t>SUB-172</t>
  </si>
  <si>
    <t>Lemari dan EXAGON</t>
  </si>
  <si>
    <t>Kelas ACC</t>
  </si>
  <si>
    <t>SUB-173</t>
  </si>
  <si>
    <t>Alas duduk 52 x 55 x 55 (the Erland)</t>
  </si>
  <si>
    <t>SUB-174</t>
  </si>
  <si>
    <t>Alas duduk bulat datar 40X40</t>
  </si>
  <si>
    <t>SUB-175</t>
  </si>
  <si>
    <t>SUB-176</t>
  </si>
  <si>
    <t>Meja Perpustakaan (120X70X25Cm)</t>
  </si>
  <si>
    <t>SUB-177</t>
  </si>
  <si>
    <t>Carger Speaker Tipe C Untuk speaker Aktif</t>
  </si>
  <si>
    <t>SUB-178</t>
  </si>
  <si>
    <t>Alas karpet (ukuran 200 x 180 cm)</t>
  </si>
  <si>
    <t>SUB-179</t>
  </si>
  <si>
    <t>Alas karpet (ukuran karpet : 210 x 160)</t>
  </si>
  <si>
    <t>SUB-180</t>
  </si>
  <si>
    <t>Rak buku khusus SMA 2 muka</t>
  </si>
  <si>
    <t>SUB-181</t>
  </si>
  <si>
    <t>Lemari pajangan karya ilmiah siswa</t>
  </si>
  <si>
    <t>SUB-182</t>
  </si>
  <si>
    <t>Rak multiguna peletakkan koran dan majalah</t>
  </si>
  <si>
    <t>SUB-183</t>
  </si>
  <si>
    <t>Rak Gantung</t>
  </si>
  <si>
    <t>SUB-184</t>
  </si>
  <si>
    <t>Selimut</t>
  </si>
  <si>
    <t>SUB-185</t>
  </si>
  <si>
    <t>Sprei</t>
  </si>
  <si>
    <t>SUB-186</t>
  </si>
  <si>
    <t>Bantal + sarung</t>
  </si>
  <si>
    <t>SUB-187</t>
  </si>
  <si>
    <t>Ranjang UKS + kasur sprai</t>
  </si>
  <si>
    <t>SUB-188</t>
  </si>
  <si>
    <t>Pengukur tinggi badan</t>
  </si>
  <si>
    <t>SUB-189</t>
  </si>
  <si>
    <t>timbangan berat badan</t>
  </si>
  <si>
    <t>SUB-190</t>
  </si>
  <si>
    <t>Tandu Scoop</t>
  </si>
  <si>
    <t>SUB-191</t>
  </si>
  <si>
    <t>Layar  proyektor</t>
  </si>
  <si>
    <t>SUB-192</t>
  </si>
  <si>
    <t>Standing Infocus portable (ICT)</t>
  </si>
  <si>
    <t>SUB-193</t>
  </si>
  <si>
    <t>Alu dan mangkoknya</t>
  </si>
  <si>
    <t>SUB-194</t>
  </si>
  <si>
    <t>Lemari Bahan</t>
  </si>
  <si>
    <t>SUB-195</t>
  </si>
  <si>
    <t>Bak cuci</t>
  </si>
  <si>
    <t>ditambah 1 buah diruang persiapan</t>
  </si>
  <si>
    <t>SUB-196</t>
  </si>
  <si>
    <t>Mistar</t>
  </si>
  <si>
    <t>SUB-197</t>
  </si>
  <si>
    <t>Mikrometer sekrup</t>
  </si>
  <si>
    <t>SUB-198</t>
  </si>
  <si>
    <t>Jangka sorong</t>
  </si>
  <si>
    <t>SUB-199</t>
  </si>
  <si>
    <t>Timbangan</t>
  </si>
  <si>
    <t>SUB-200</t>
  </si>
  <si>
    <t>Stopwatch</t>
  </si>
  <si>
    <t>SUB-201</t>
  </si>
  <si>
    <t>Rol meter</t>
  </si>
  <si>
    <t>SUB-202</t>
  </si>
  <si>
    <t>Termometer 100C</t>
  </si>
  <si>
    <t>SUB-203</t>
  </si>
  <si>
    <t>Gelas ukur</t>
  </si>
  <si>
    <t>SUB-204</t>
  </si>
  <si>
    <t>Bidang miring</t>
  </si>
  <si>
    <t>SUB-205</t>
  </si>
  <si>
    <t>Katrol tetap</t>
  </si>
  <si>
    <t>SUB-206</t>
  </si>
  <si>
    <t>Katrol bergerak</t>
  </si>
  <si>
    <t>SUB-207</t>
  </si>
  <si>
    <t>Balok kayu</t>
  </si>
  <si>
    <t>SUB-208</t>
  </si>
  <si>
    <t>Percobaan muai panjang</t>
  </si>
  <si>
    <t>SUB-209</t>
  </si>
  <si>
    <t>Kaki tiga</t>
  </si>
  <si>
    <t>SUB-210</t>
  </si>
  <si>
    <t>Plat tetes</t>
  </si>
  <si>
    <t>SUB-211</t>
  </si>
  <si>
    <t>Pipa tetes/karet</t>
  </si>
  <si>
    <t>SUB-212</t>
  </si>
  <si>
    <t>SUB-213</t>
  </si>
  <si>
    <t>Jas Lab</t>
  </si>
  <si>
    <t>SUB-214</t>
  </si>
  <si>
    <t>Akrilik Visi- misi</t>
  </si>
  <si>
    <t>SUB-215</t>
  </si>
  <si>
    <t>Tempat sampah terpilah</t>
  </si>
  <si>
    <t>SUB-216</t>
  </si>
  <si>
    <t>Memory Kamera Canon EOS 1200D</t>
  </si>
  <si>
    <t>SUB-217</t>
  </si>
  <si>
    <t>Memory Kamera Canon M 50</t>
  </si>
  <si>
    <t>SUB-218</t>
  </si>
  <si>
    <t>SSD 500GB  + Bracket</t>
  </si>
  <si>
    <t>Untuk Laptop FO</t>
  </si>
  <si>
    <t>SUB-219</t>
  </si>
  <si>
    <t>Ram Laptop Admin (8 GB)</t>
  </si>
  <si>
    <t>SUB-220</t>
  </si>
  <si>
    <t>Visi &amp; Misi</t>
  </si>
  <si>
    <t>SUB-221</t>
  </si>
  <si>
    <t>Profil Lulusan</t>
  </si>
  <si>
    <t>SUB-222</t>
  </si>
  <si>
    <t>Budaya An Nahl</t>
  </si>
  <si>
    <t>SUB-223</t>
  </si>
  <si>
    <t>Laptop Kepala Sekolah</t>
  </si>
  <si>
    <t>SUB-224</t>
  </si>
  <si>
    <t>Saint Sistem</t>
  </si>
  <si>
    <t>SUB-225</t>
  </si>
  <si>
    <t>Teralis Lantai 2 gedung C</t>
  </si>
  <si>
    <t>SUB-226</t>
  </si>
  <si>
    <t>Printer+scanner</t>
  </si>
  <si>
    <t>SUB-227</t>
  </si>
  <si>
    <t>Kursi Kepsek</t>
  </si>
  <si>
    <t>SUB-228</t>
  </si>
  <si>
    <t>Pernis Meja Kepsek</t>
  </si>
  <si>
    <t>SUB-229</t>
  </si>
  <si>
    <t>Mading Lantai 2</t>
  </si>
  <si>
    <t>SUB-230</t>
  </si>
  <si>
    <t>Karet Kaca Jendela Lantai 2</t>
  </si>
  <si>
    <t>SUB-231</t>
  </si>
  <si>
    <t>Ganti Kulit Sofa SMP</t>
  </si>
  <si>
    <t>SUB-232</t>
  </si>
  <si>
    <t>Meja Tamu Loby</t>
  </si>
  <si>
    <t>SUB-233</t>
  </si>
  <si>
    <t>Sofa lobi lantai 2</t>
  </si>
  <si>
    <t>SUB-234</t>
  </si>
  <si>
    <t>Kipas Angin Lobi</t>
  </si>
  <si>
    <t>SUB-235</t>
  </si>
  <si>
    <t>Lemari Piala</t>
  </si>
  <si>
    <t>Untuk lobi ukuran :</t>
  </si>
  <si>
    <t>SUB-236</t>
  </si>
  <si>
    <t>Baterai Laptop Dapodik</t>
  </si>
  <si>
    <t>SUB-237</t>
  </si>
  <si>
    <t>CCTV Lobi 360 derajat</t>
  </si>
  <si>
    <t>Meja Katering (titik buta)</t>
  </si>
  <si>
    <t>SUB-1750142720444</t>
  </si>
  <si>
    <t>Pengadaan Laptop</t>
  </si>
  <si>
    <t>PIC Unit SMA</t>
  </si>
  <si>
    <t>SUB-1750208498834</t>
  </si>
  <si>
    <t>Penambahan Sling Seluncuran pada playground PGTK depan Kantin</t>
  </si>
  <si>
    <t>SUB-1753057715607</t>
  </si>
  <si>
    <t>Perbaikan tempat wudhu di bawah tangga isbi</t>
  </si>
  <si>
    <t>22 Juli 2025</t>
  </si>
  <si>
    <t>Kode</t>
  </si>
  <si>
    <t>Uraian</t>
  </si>
  <si>
    <t>anggaran</t>
  </si>
  <si>
    <t>Keterangan</t>
  </si>
  <si>
    <t>A-001</t>
  </si>
  <si>
    <t>51411-001</t>
  </si>
  <si>
    <t>Pemeliharaan Gedung</t>
  </si>
  <si>
    <t>12 Bulan.</t>
  </si>
  <si>
    <t>A-002</t>
  </si>
  <si>
    <t>51411-002</t>
  </si>
  <si>
    <t>Pemeliharaan Kolam Renang - Obat Kolam Renang</t>
  </si>
  <si>
    <t>6 Bulan</t>
  </si>
  <si>
    <t>A-003</t>
  </si>
  <si>
    <t>51411-003</t>
  </si>
  <si>
    <t>Pemeliharaan Kolam Renang - Treatment Vacum</t>
  </si>
  <si>
    <t>12 Bulan</t>
  </si>
  <si>
    <t>A-004</t>
  </si>
  <si>
    <t>51411-004</t>
  </si>
  <si>
    <t>Pemeliharaan Sarpras</t>
  </si>
  <si>
    <t>A-005</t>
  </si>
  <si>
    <t>51411-005</t>
  </si>
  <si>
    <t>Pemeliharaan Kendaraan Operasional - Service Motor</t>
  </si>
  <si>
    <t>A-006</t>
  </si>
  <si>
    <t>51411-006</t>
  </si>
  <si>
    <t>Pemeliharaan Kendaraan Operasional - Service Mobil</t>
  </si>
  <si>
    <t>A-007</t>
  </si>
  <si>
    <t>51411-007</t>
  </si>
  <si>
    <t>Pemeliharaan Kendaraan Operasional - Pajak Motor</t>
  </si>
  <si>
    <t>A-008</t>
  </si>
  <si>
    <t>51411-008</t>
  </si>
  <si>
    <t>Pemeliharaan Kendaraan Operasional - Pajak Mobil (4 kendaraan)</t>
  </si>
  <si>
    <t>A-009</t>
  </si>
  <si>
    <t>51411-009</t>
  </si>
  <si>
    <t>Pemeliharaan Barang Inventaris</t>
  </si>
  <si>
    <t>A-010</t>
  </si>
  <si>
    <t>51411-010</t>
  </si>
  <si>
    <t>Pemeliharaan  lainnya - Fogging</t>
  </si>
  <si>
    <t>A-011</t>
  </si>
  <si>
    <t>51411-011</t>
  </si>
  <si>
    <t>Pemeliharaan AC- Cuci</t>
  </si>
  <si>
    <t>A-012</t>
  </si>
  <si>
    <t>51411-012</t>
  </si>
  <si>
    <t>Pemeliharaan AC- Service</t>
  </si>
  <si>
    <t>A-013</t>
  </si>
  <si>
    <t>51412-001</t>
  </si>
  <si>
    <t>Biaya Perizinan</t>
  </si>
  <si>
    <t>A-014</t>
  </si>
  <si>
    <t>51412-002</t>
  </si>
  <si>
    <t>Keamanan &amp; Kebersihan Lingkungan - CSR Lingkungan</t>
  </si>
  <si>
    <t>A-015</t>
  </si>
  <si>
    <t>51412-003</t>
  </si>
  <si>
    <t>Keamanan &amp; Kebersihan Lingkungan - Iuran Sampah</t>
  </si>
  <si>
    <t>A-016</t>
  </si>
  <si>
    <t>51412-004</t>
  </si>
  <si>
    <t>Admin Bank</t>
  </si>
  <si>
    <t>A-017</t>
  </si>
  <si>
    <t>51412-005</t>
  </si>
  <si>
    <t>Sewa Ecopark &amp; Ruang ISBI</t>
  </si>
  <si>
    <t>A-018</t>
  </si>
  <si>
    <t>51412-006</t>
  </si>
  <si>
    <t>Administrasi Operasional lainnya - Petty Cash</t>
  </si>
  <si>
    <t>A-019</t>
  </si>
  <si>
    <t>51412-007</t>
  </si>
  <si>
    <t>Konsumsi Olahraga Security</t>
  </si>
  <si>
    <t>A-020</t>
  </si>
  <si>
    <t>51412-008</t>
  </si>
  <si>
    <t>Pelatihan SDM Umum; Gawat Darurat &amp; P3K</t>
  </si>
  <si>
    <t>A-021</t>
  </si>
  <si>
    <t>51413-001</t>
  </si>
  <si>
    <t>Listrik</t>
  </si>
  <si>
    <t>A-022</t>
  </si>
  <si>
    <t>51413-002</t>
  </si>
  <si>
    <t>Telephon dan Internet</t>
  </si>
  <si>
    <t>A-023</t>
  </si>
  <si>
    <t>51413-003</t>
  </si>
  <si>
    <t>Air Mineral</t>
  </si>
  <si>
    <t>A-024</t>
  </si>
  <si>
    <t>51414-001</t>
  </si>
  <si>
    <t>ATK - Kertas A4 &amp; F4</t>
  </si>
  <si>
    <t>A-025</t>
  </si>
  <si>
    <t>51414-002</t>
  </si>
  <si>
    <t>ATK - ATK Lainnya</t>
  </si>
  <si>
    <t>A-026</t>
  </si>
  <si>
    <t>51414-003</t>
  </si>
  <si>
    <t>Barang habis pakai - Tinta Printer</t>
  </si>
  <si>
    <t>A-027</t>
  </si>
  <si>
    <t>51414-004</t>
  </si>
  <si>
    <t>Barang habis pakai - Barang Lainnya</t>
  </si>
  <si>
    <t>A-028</t>
  </si>
  <si>
    <t>51414-005</t>
  </si>
  <si>
    <t>Perlengkapan Umum / Sekolah</t>
  </si>
  <si>
    <t>A-029</t>
  </si>
  <si>
    <t>51415-001</t>
  </si>
  <si>
    <t>Investasi PGTK</t>
  </si>
  <si>
    <t>1 Kali/ Tahun</t>
  </si>
  <si>
    <t>A-030</t>
  </si>
  <si>
    <t>51415-002</t>
  </si>
  <si>
    <t>Investasi SD</t>
  </si>
  <si>
    <t>A-031</t>
  </si>
  <si>
    <t>51415-003</t>
  </si>
  <si>
    <t>Investasi SMP</t>
  </si>
  <si>
    <t>A-032</t>
  </si>
  <si>
    <t>51415-004</t>
  </si>
  <si>
    <t>Investasi SMA</t>
  </si>
  <si>
    <t>A-033</t>
  </si>
  <si>
    <t>51415-005</t>
  </si>
  <si>
    <t>Investasi Umum</t>
  </si>
  <si>
    <t>A-034</t>
  </si>
  <si>
    <t>51415-006</t>
  </si>
  <si>
    <t>Investasi Yayasan</t>
  </si>
  <si>
    <t>Total</t>
  </si>
  <si>
    <t>Rata-rata</t>
  </si>
  <si>
    <t>Anggsuran Mobil Operasional</t>
  </si>
  <si>
    <t>Anggsuran Mobil Direksi</t>
  </si>
  <si>
    <t>Listrik An Nahl</t>
  </si>
  <si>
    <t>Listrik YPPI</t>
  </si>
  <si>
    <t>Internet &amp; Telepon An Nahl &amp; Speddy</t>
  </si>
  <si>
    <t>Internet Maxindo</t>
  </si>
  <si>
    <t>Air Galon TDS</t>
  </si>
  <si>
    <t>1.050.000</t>
  </si>
  <si>
    <t>Uang Lingkungan</t>
  </si>
  <si>
    <t>Konsusmsi OR Security</t>
  </si>
  <si>
    <t>Chemical Kolam Renang</t>
  </si>
  <si>
    <t>Belanja Bulanan</t>
  </si>
  <si>
    <t>Perkap GA</t>
  </si>
  <si>
    <t>Patty Cash Umum</t>
  </si>
  <si>
    <t>Anggaran Yang Disepakati untuk unit GA</t>
  </si>
  <si>
    <t>Aspek</t>
  </si>
  <si>
    <t>Unit GA</t>
  </si>
  <si>
    <t>SignSystem</t>
  </si>
  <si>
    <t>Unit Investasi</t>
  </si>
  <si>
    <t>Yayasan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</si>
</sst>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.00"/>
    <numFmt numFmtId="165" formatCode="[$Rp]#,##0"/>
    <numFmt numFmtId="166" formatCode="mmmm-d"/>
    <numFmt numFmtId="167" formatCode="mmm-d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color rgb="FF1A1C1E"/>
      <name val="&quot;DM Mono&quot;"/>
    </font>
    <font>
      <sz val="11.0"/>
      <color theme="1"/>
      <name val="Calibri"/>
    </font>
    <font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164" xfId="0" applyAlignment="1" applyBorder="1" applyFont="1" applyNumberForma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vertical="top" wrapText="1"/>
    </xf>
    <xf borderId="1" fillId="3" fontId="2" numFmtId="164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164" xfId="0" applyAlignment="1" applyBorder="1" applyFont="1" applyNumberFormat="1">
      <alignment horizontal="right" readingOrder="0" shrinkToFit="0" wrapText="1"/>
    </xf>
    <xf borderId="1" fillId="3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1" fillId="3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shrinkToFit="0" wrapText="1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right" readingOrder="0" vertical="top"/>
    </xf>
    <xf borderId="0" fillId="0" fontId="2" numFmtId="164" xfId="0" applyFont="1" applyNumberFormat="1"/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top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2" numFmtId="165" xfId="0" applyFont="1" applyNumberFormat="1"/>
    <xf borderId="0" fillId="0" fontId="2" numFmtId="164" xfId="0" applyAlignment="1" applyFont="1" applyNumberFormat="1">
      <alignment horizontal="right"/>
    </xf>
    <xf borderId="0" fillId="0" fontId="2" numFmtId="165" xfId="0" applyAlignment="1" applyFont="1" applyNumberFormat="1">
      <alignment horizontal="right" readingOrder="0"/>
    </xf>
    <xf borderId="0" fillId="4" fontId="6" numFmtId="0" xfId="0" applyFill="1" applyFont="1"/>
    <xf borderId="0" fillId="0" fontId="2" numFmtId="0" xfId="0" applyFont="1"/>
    <xf borderId="2" fillId="0" fontId="2" numFmtId="0" xfId="0" applyBorder="1" applyFont="1"/>
    <xf borderId="2" fillId="0" fontId="2" numFmtId="164" xfId="0" applyBorder="1" applyFont="1" applyNumberFormat="1"/>
    <xf borderId="0" fillId="0" fontId="7" numFmtId="0" xfId="0" applyAlignment="1" applyFont="1">
      <alignment readingOrder="0"/>
    </xf>
    <xf borderId="0" fillId="4" fontId="2" numFmtId="164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9" xfId="0" applyFont="1" applyNumberFormat="1"/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2" t="s">
        <v>7</v>
      </c>
    </row>
    <row r="3">
      <c r="A3" s="1" t="s">
        <v>8</v>
      </c>
      <c r="B3" s="1" t="s">
        <v>9</v>
      </c>
      <c r="C3" s="2" t="s">
        <v>10</v>
      </c>
      <c r="D3" s="1" t="s">
        <v>11</v>
      </c>
    </row>
    <row r="4">
      <c r="A4" s="1" t="s">
        <v>12</v>
      </c>
      <c r="B4" s="1" t="s">
        <v>13</v>
      </c>
      <c r="C4" s="2" t="s">
        <v>10</v>
      </c>
      <c r="D4" s="2" t="s">
        <v>14</v>
      </c>
    </row>
    <row r="5">
      <c r="A5" s="1" t="s">
        <v>15</v>
      </c>
      <c r="B5" s="1" t="s">
        <v>16</v>
      </c>
      <c r="C5" s="2" t="s">
        <v>10</v>
      </c>
      <c r="D5" s="1" t="s">
        <v>17</v>
      </c>
    </row>
    <row r="6">
      <c r="A6" s="1" t="s">
        <v>18</v>
      </c>
      <c r="B6" s="1" t="s">
        <v>19</v>
      </c>
      <c r="C6" s="2" t="s">
        <v>10</v>
      </c>
      <c r="D6" s="1" t="s">
        <v>20</v>
      </c>
    </row>
    <row r="7">
      <c r="A7" s="1" t="s">
        <v>21</v>
      </c>
      <c r="B7" s="1" t="s">
        <v>22</v>
      </c>
      <c r="C7" s="2" t="s">
        <v>10</v>
      </c>
      <c r="D7" s="1" t="s">
        <v>23</v>
      </c>
    </row>
    <row r="8">
      <c r="A8" s="1" t="s">
        <v>24</v>
      </c>
      <c r="B8" s="1" t="s">
        <v>25</v>
      </c>
      <c r="C8" s="2" t="s">
        <v>10</v>
      </c>
      <c r="D8" s="1" t="s">
        <v>26</v>
      </c>
    </row>
    <row r="9">
      <c r="A9" s="1" t="s">
        <v>27</v>
      </c>
      <c r="B9" s="1" t="s">
        <v>28</v>
      </c>
      <c r="C9" s="2" t="s">
        <v>10</v>
      </c>
      <c r="D9" s="2" t="s">
        <v>14</v>
      </c>
    </row>
    <row r="10">
      <c r="A10" s="3" t="s">
        <v>29</v>
      </c>
      <c r="B10" s="3" t="s">
        <v>30</v>
      </c>
      <c r="C10" s="3" t="s">
        <v>10</v>
      </c>
      <c r="D10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  <col customWidth="1" min="2" max="2" width="43.88"/>
  </cols>
  <sheetData>
    <row r="1">
      <c r="A1" s="3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</cols>
  <sheetData>
    <row r="1">
      <c r="A1" s="3" t="s">
        <v>33</v>
      </c>
    </row>
    <row r="2">
      <c r="A2" s="3" t="s">
        <v>34</v>
      </c>
    </row>
    <row r="3">
      <c r="A3" s="3" t="s">
        <v>35</v>
      </c>
    </row>
    <row r="4">
      <c r="A4" s="3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1.25"/>
    <col customWidth="1" min="3" max="3" width="10.25"/>
    <col customWidth="1" min="4" max="5" width="21.25"/>
  </cols>
  <sheetData>
    <row r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>
      <c r="A2" s="3" t="s">
        <v>42</v>
      </c>
      <c r="B2" s="4" t="s">
        <v>43</v>
      </c>
      <c r="C2" s="4">
        <v>95.0</v>
      </c>
      <c r="D2" s="4" t="s">
        <v>44</v>
      </c>
      <c r="E2" s="4" t="s">
        <v>45</v>
      </c>
    </row>
    <row r="3">
      <c r="A3" s="3" t="s">
        <v>46</v>
      </c>
      <c r="B3" s="4" t="s">
        <v>47</v>
      </c>
      <c r="C3" s="4">
        <v>95.0</v>
      </c>
      <c r="D3" s="4" t="s">
        <v>44</v>
      </c>
      <c r="E3" s="4" t="s">
        <v>48</v>
      </c>
    </row>
    <row r="4">
      <c r="A4" s="3" t="s">
        <v>49</v>
      </c>
      <c r="B4" s="4" t="s">
        <v>50</v>
      </c>
      <c r="C4" s="4">
        <v>95.0</v>
      </c>
      <c r="D4" s="4" t="s">
        <v>44</v>
      </c>
      <c r="E4" s="4" t="s">
        <v>48</v>
      </c>
    </row>
    <row r="5">
      <c r="A5" s="3" t="s">
        <v>51</v>
      </c>
      <c r="B5" s="4" t="s">
        <v>52</v>
      </c>
      <c r="C5" s="4">
        <v>90.0</v>
      </c>
      <c r="D5" s="4" t="s">
        <v>44</v>
      </c>
      <c r="E5" s="4" t="s">
        <v>48</v>
      </c>
    </row>
    <row r="6">
      <c r="A6" s="3" t="s">
        <v>53</v>
      </c>
      <c r="B6" s="4" t="s">
        <v>54</v>
      </c>
      <c r="C6" s="4">
        <v>90.0</v>
      </c>
      <c r="D6" s="4" t="s">
        <v>44</v>
      </c>
      <c r="E6" s="4" t="s">
        <v>55</v>
      </c>
    </row>
    <row r="7">
      <c r="A7" s="3" t="s">
        <v>56</v>
      </c>
      <c r="B7" s="4" t="s">
        <v>57</v>
      </c>
      <c r="C7" s="4">
        <v>90.0</v>
      </c>
      <c r="D7" s="4" t="s">
        <v>44</v>
      </c>
      <c r="E7" s="4" t="s">
        <v>58</v>
      </c>
    </row>
    <row r="8">
      <c r="B8" s="5"/>
      <c r="C8" s="5"/>
      <c r="D8" s="5"/>
      <c r="E8" s="5"/>
    </row>
    <row r="9">
      <c r="B9" s="5"/>
      <c r="C9" s="5"/>
      <c r="D9" s="5"/>
      <c r="E9" s="5"/>
    </row>
    <row r="10">
      <c r="B10" s="5"/>
      <c r="C10" s="5"/>
      <c r="D10" s="5"/>
      <c r="E10" s="5"/>
    </row>
    <row r="11">
      <c r="B11" s="5"/>
      <c r="C11" s="5"/>
      <c r="D11" s="5"/>
      <c r="E11" s="5"/>
    </row>
    <row r="12">
      <c r="B12" s="5"/>
      <c r="C12" s="5"/>
      <c r="D12" s="5"/>
      <c r="E12" s="5"/>
    </row>
    <row r="13">
      <c r="B13" s="5"/>
      <c r="C13" s="5"/>
      <c r="D13" s="5"/>
      <c r="E13" s="5"/>
    </row>
    <row r="14">
      <c r="B14" s="5"/>
      <c r="C14" s="5"/>
      <c r="D14" s="5"/>
      <c r="E14" s="5"/>
    </row>
    <row r="15">
      <c r="B15" s="5"/>
      <c r="C15" s="5"/>
      <c r="D15" s="5"/>
      <c r="E15" s="5"/>
    </row>
    <row r="16">
      <c r="B16" s="5"/>
      <c r="C16" s="5"/>
      <c r="D16" s="5"/>
      <c r="E16" s="5"/>
    </row>
    <row r="17">
      <c r="B17" s="5"/>
      <c r="C17" s="5"/>
      <c r="D17" s="5"/>
      <c r="E17" s="5"/>
    </row>
    <row r="18">
      <c r="B18" s="5"/>
      <c r="C18" s="5"/>
      <c r="D18" s="5"/>
      <c r="E18" s="5"/>
    </row>
    <row r="19">
      <c r="B19" s="5"/>
      <c r="C19" s="5"/>
      <c r="D19" s="5"/>
      <c r="E19" s="5"/>
    </row>
    <row r="20">
      <c r="B20" s="5"/>
      <c r="C20" s="5"/>
      <c r="D20" s="5"/>
      <c r="E20" s="5"/>
    </row>
    <row r="21">
      <c r="B21" s="5"/>
      <c r="C21" s="5"/>
      <c r="D21" s="5"/>
      <c r="E21" s="5"/>
    </row>
    <row r="22">
      <c r="B22" s="5"/>
      <c r="C22" s="5"/>
      <c r="D22" s="5"/>
      <c r="E22" s="5"/>
    </row>
    <row r="23">
      <c r="B23" s="5"/>
      <c r="C23" s="5"/>
      <c r="D23" s="5"/>
      <c r="E23" s="5"/>
    </row>
    <row r="24">
      <c r="B24" s="5"/>
      <c r="C24" s="5"/>
      <c r="D24" s="5"/>
      <c r="E24" s="5"/>
    </row>
    <row r="25">
      <c r="B25" s="5"/>
      <c r="C25" s="5"/>
      <c r="D25" s="5"/>
      <c r="E25" s="5"/>
    </row>
    <row r="26">
      <c r="B26" s="5"/>
      <c r="C26" s="5"/>
      <c r="D26" s="5"/>
      <c r="E26" s="5"/>
    </row>
    <row r="27">
      <c r="B27" s="5"/>
      <c r="C27" s="5"/>
      <c r="D27" s="5"/>
      <c r="E27" s="5"/>
    </row>
    <row r="28">
      <c r="B28" s="5"/>
      <c r="C28" s="5"/>
      <c r="D28" s="5"/>
      <c r="E28" s="5"/>
    </row>
    <row r="29">
      <c r="B29" s="5"/>
      <c r="C29" s="5"/>
      <c r="D29" s="5"/>
      <c r="E29" s="5"/>
    </row>
    <row r="30">
      <c r="B30" s="5"/>
      <c r="C30" s="5"/>
      <c r="D30" s="5"/>
      <c r="E30" s="5"/>
    </row>
    <row r="31">
      <c r="B31" s="5"/>
      <c r="C31" s="5"/>
      <c r="D31" s="5"/>
      <c r="E31" s="5"/>
    </row>
    <row r="32">
      <c r="B32" s="5"/>
      <c r="C32" s="5"/>
      <c r="D32" s="5"/>
      <c r="E32" s="5"/>
    </row>
    <row r="33">
      <c r="B33" s="5"/>
      <c r="C33" s="5"/>
      <c r="D33" s="5"/>
      <c r="E33" s="5"/>
    </row>
    <row r="34">
      <c r="B34" s="5"/>
      <c r="C34" s="5"/>
      <c r="D34" s="5"/>
      <c r="E34" s="5"/>
    </row>
    <row r="35">
      <c r="B35" s="5"/>
      <c r="C35" s="5"/>
      <c r="D35" s="5"/>
      <c r="E35" s="5"/>
    </row>
    <row r="36">
      <c r="B36" s="5"/>
      <c r="C36" s="5"/>
      <c r="D36" s="5"/>
      <c r="E36" s="5"/>
    </row>
    <row r="37">
      <c r="B37" s="5"/>
      <c r="C37" s="5"/>
      <c r="D37" s="5"/>
      <c r="E37" s="5"/>
    </row>
    <row r="38">
      <c r="B38" s="5"/>
      <c r="C38" s="5"/>
      <c r="D38" s="5"/>
      <c r="E38" s="5"/>
    </row>
    <row r="39">
      <c r="B39" s="5"/>
      <c r="C39" s="5"/>
      <c r="D39" s="5"/>
      <c r="E39" s="5"/>
    </row>
    <row r="40">
      <c r="B40" s="5"/>
      <c r="C40" s="5"/>
      <c r="D40" s="5"/>
      <c r="E40" s="5"/>
    </row>
    <row r="41">
      <c r="B41" s="5"/>
      <c r="C41" s="5"/>
      <c r="D41" s="5"/>
      <c r="E41" s="5"/>
    </row>
    <row r="42">
      <c r="B42" s="5"/>
      <c r="C42" s="5"/>
      <c r="D42" s="5"/>
      <c r="E42" s="5"/>
    </row>
    <row r="43">
      <c r="B43" s="5"/>
      <c r="C43" s="5"/>
      <c r="D43" s="5"/>
      <c r="E43" s="5"/>
    </row>
    <row r="44">
      <c r="B44" s="5"/>
      <c r="C44" s="5"/>
      <c r="D44" s="5"/>
      <c r="E44" s="5"/>
    </row>
    <row r="45">
      <c r="B45" s="5"/>
      <c r="C45" s="5"/>
      <c r="D45" s="5"/>
      <c r="E45" s="5"/>
    </row>
    <row r="46">
      <c r="B46" s="5"/>
      <c r="C46" s="5"/>
      <c r="D46" s="5"/>
      <c r="E46" s="5"/>
    </row>
    <row r="47">
      <c r="B47" s="5"/>
      <c r="C47" s="5"/>
      <c r="D47" s="5"/>
      <c r="E47" s="5"/>
    </row>
    <row r="48">
      <c r="B48" s="5"/>
      <c r="C48" s="5"/>
      <c r="D48" s="5"/>
      <c r="E48" s="5"/>
    </row>
    <row r="49">
      <c r="B49" s="5"/>
      <c r="C49" s="5"/>
      <c r="D49" s="5"/>
      <c r="E49" s="5"/>
    </row>
    <row r="50">
      <c r="B50" s="5"/>
      <c r="C50" s="5"/>
      <c r="D50" s="5"/>
      <c r="E50" s="5"/>
    </row>
    <row r="51">
      <c r="B51" s="5"/>
      <c r="C51" s="5"/>
      <c r="D51" s="5"/>
      <c r="E51" s="5"/>
    </row>
    <row r="52">
      <c r="B52" s="5"/>
      <c r="C52" s="5"/>
      <c r="D52" s="5"/>
      <c r="E52" s="5"/>
    </row>
    <row r="53">
      <c r="B53" s="5"/>
      <c r="C53" s="5"/>
      <c r="D53" s="5"/>
      <c r="E53" s="5"/>
    </row>
    <row r="54">
      <c r="B54" s="5"/>
      <c r="C54" s="5"/>
      <c r="D54" s="5"/>
      <c r="E54" s="5"/>
    </row>
    <row r="55">
      <c r="B55" s="5"/>
      <c r="C55" s="5"/>
      <c r="D55" s="5"/>
      <c r="E55" s="5"/>
    </row>
    <row r="56">
      <c r="B56" s="5"/>
      <c r="C56" s="5"/>
      <c r="D56" s="5"/>
      <c r="E56" s="5"/>
    </row>
    <row r="57">
      <c r="B57" s="5"/>
      <c r="C57" s="5"/>
      <c r="D57" s="5"/>
      <c r="E57" s="5"/>
    </row>
    <row r="58">
      <c r="B58" s="5"/>
      <c r="C58" s="5"/>
      <c r="D58" s="5"/>
      <c r="E58" s="5"/>
    </row>
    <row r="59">
      <c r="B59" s="5"/>
      <c r="C59" s="5"/>
      <c r="D59" s="5"/>
      <c r="E59" s="5"/>
    </row>
    <row r="60">
      <c r="B60" s="5"/>
      <c r="C60" s="5"/>
      <c r="D60" s="5"/>
      <c r="E60" s="5"/>
    </row>
    <row r="61">
      <c r="B61" s="5"/>
      <c r="C61" s="5"/>
      <c r="D61" s="5"/>
      <c r="E61" s="5"/>
    </row>
    <row r="62">
      <c r="B62" s="5"/>
      <c r="C62" s="5"/>
      <c r="D62" s="5"/>
      <c r="E62" s="5"/>
    </row>
    <row r="63">
      <c r="B63" s="5"/>
      <c r="C63" s="5"/>
      <c r="D63" s="5"/>
      <c r="E63" s="5"/>
    </row>
    <row r="64">
      <c r="B64" s="5"/>
      <c r="C64" s="5"/>
      <c r="D64" s="5"/>
      <c r="E64" s="5"/>
    </row>
    <row r="65">
      <c r="B65" s="5"/>
      <c r="C65" s="5"/>
      <c r="D65" s="5"/>
      <c r="E65" s="5"/>
    </row>
    <row r="66">
      <c r="B66" s="5"/>
      <c r="C66" s="5"/>
      <c r="D66" s="5"/>
      <c r="E66" s="5"/>
    </row>
    <row r="67">
      <c r="B67" s="5"/>
      <c r="C67" s="5"/>
      <c r="D67" s="5"/>
      <c r="E67" s="5"/>
    </row>
    <row r="68">
      <c r="B68" s="5"/>
      <c r="C68" s="5"/>
      <c r="D68" s="5"/>
      <c r="E68" s="5"/>
    </row>
    <row r="69">
      <c r="B69" s="5"/>
      <c r="C69" s="5"/>
      <c r="D69" s="5"/>
      <c r="E69" s="5"/>
    </row>
    <row r="70">
      <c r="B70" s="5"/>
      <c r="C70" s="5"/>
      <c r="D70" s="5"/>
      <c r="E70" s="5"/>
    </row>
    <row r="71">
      <c r="B71" s="5"/>
      <c r="C71" s="5"/>
      <c r="D71" s="5"/>
      <c r="E71" s="5"/>
    </row>
    <row r="72">
      <c r="B72" s="5"/>
      <c r="C72" s="5"/>
      <c r="D72" s="5"/>
      <c r="E72" s="5"/>
    </row>
    <row r="73">
      <c r="B73" s="5"/>
      <c r="C73" s="5"/>
      <c r="D73" s="5"/>
      <c r="E73" s="5"/>
    </row>
    <row r="74">
      <c r="B74" s="5"/>
      <c r="C74" s="5"/>
      <c r="D74" s="5"/>
      <c r="E74" s="5"/>
    </row>
    <row r="75">
      <c r="B75" s="5"/>
      <c r="C75" s="5"/>
      <c r="D75" s="5"/>
      <c r="E75" s="5"/>
    </row>
    <row r="76">
      <c r="B76" s="5"/>
      <c r="C76" s="5"/>
      <c r="D76" s="5"/>
      <c r="E76" s="5"/>
    </row>
    <row r="77">
      <c r="B77" s="5"/>
      <c r="C77" s="5"/>
      <c r="D77" s="5"/>
      <c r="E77" s="5"/>
    </row>
    <row r="78">
      <c r="B78" s="5"/>
      <c r="C78" s="5"/>
      <c r="D78" s="5"/>
      <c r="E78" s="5"/>
    </row>
    <row r="79">
      <c r="B79" s="5"/>
      <c r="C79" s="5"/>
      <c r="D79" s="5"/>
      <c r="E79" s="5"/>
    </row>
    <row r="80">
      <c r="B80" s="5"/>
      <c r="C80" s="5"/>
      <c r="D80" s="5"/>
      <c r="E80" s="5"/>
    </row>
    <row r="81">
      <c r="B81" s="5"/>
      <c r="C81" s="5"/>
      <c r="D81" s="5"/>
      <c r="E81" s="5"/>
    </row>
    <row r="82">
      <c r="B82" s="5"/>
      <c r="C82" s="5"/>
      <c r="D82" s="5"/>
      <c r="E82" s="5"/>
    </row>
    <row r="83">
      <c r="B83" s="5"/>
      <c r="C83" s="5"/>
      <c r="D83" s="5"/>
      <c r="E83" s="5"/>
    </row>
    <row r="84">
      <c r="B84" s="5"/>
      <c r="C84" s="5"/>
      <c r="D84" s="5"/>
      <c r="E84" s="5"/>
    </row>
    <row r="85">
      <c r="B85" s="5"/>
      <c r="C85" s="5"/>
      <c r="D85" s="5"/>
      <c r="E85" s="5"/>
    </row>
    <row r="86">
      <c r="B86" s="5"/>
      <c r="C86" s="5"/>
      <c r="D86" s="5"/>
      <c r="E86" s="5"/>
    </row>
    <row r="87">
      <c r="B87" s="5"/>
      <c r="C87" s="5"/>
      <c r="D87" s="5"/>
      <c r="E87" s="5"/>
    </row>
    <row r="88">
      <c r="B88" s="5"/>
      <c r="C88" s="5"/>
      <c r="D88" s="5"/>
      <c r="E88" s="5"/>
    </row>
    <row r="89">
      <c r="B89" s="5"/>
      <c r="C89" s="5"/>
      <c r="D89" s="5"/>
      <c r="E89" s="5"/>
    </row>
    <row r="90">
      <c r="B90" s="5"/>
      <c r="C90" s="5"/>
      <c r="D90" s="5"/>
      <c r="E90" s="5"/>
    </row>
    <row r="91">
      <c r="B91" s="5"/>
      <c r="C91" s="5"/>
      <c r="D91" s="5"/>
      <c r="E91" s="5"/>
    </row>
    <row r="92">
      <c r="B92" s="5"/>
      <c r="C92" s="5"/>
      <c r="D92" s="5"/>
      <c r="E92" s="5"/>
    </row>
    <row r="93">
      <c r="B93" s="5"/>
      <c r="C93" s="5"/>
      <c r="D93" s="5"/>
      <c r="E93" s="5"/>
    </row>
    <row r="94">
      <c r="B94" s="5"/>
      <c r="C94" s="5"/>
      <c r="D94" s="5"/>
      <c r="E94" s="5"/>
    </row>
    <row r="95">
      <c r="B95" s="5"/>
      <c r="C95" s="5"/>
      <c r="D95" s="5"/>
      <c r="E95" s="5"/>
    </row>
    <row r="96">
      <c r="B96" s="5"/>
      <c r="C96" s="5"/>
      <c r="D96" s="5"/>
      <c r="E96" s="5"/>
    </row>
    <row r="97">
      <c r="B97" s="5"/>
      <c r="C97" s="5"/>
      <c r="D97" s="5"/>
      <c r="E97" s="5"/>
    </row>
    <row r="98">
      <c r="B98" s="5"/>
      <c r="C98" s="5"/>
      <c r="D98" s="5"/>
      <c r="E98" s="5"/>
    </row>
    <row r="99">
      <c r="B99" s="5"/>
      <c r="C99" s="5"/>
      <c r="D99" s="5"/>
      <c r="E99" s="5"/>
    </row>
    <row r="100">
      <c r="B100" s="5"/>
      <c r="C100" s="5"/>
      <c r="D100" s="5"/>
      <c r="E100" s="5"/>
    </row>
    <row r="101">
      <c r="B101" s="5"/>
      <c r="C101" s="5"/>
      <c r="D101" s="5"/>
      <c r="E101" s="5"/>
    </row>
    <row r="102">
      <c r="B102" s="5"/>
      <c r="C102" s="5"/>
      <c r="D102" s="5"/>
      <c r="E102" s="5"/>
    </row>
    <row r="103">
      <c r="B103" s="5"/>
      <c r="C103" s="5"/>
      <c r="D103" s="5"/>
      <c r="E103" s="5"/>
    </row>
    <row r="104">
      <c r="B104" s="5"/>
      <c r="C104" s="5"/>
      <c r="D104" s="5"/>
      <c r="E104" s="5"/>
    </row>
    <row r="105">
      <c r="B105" s="5"/>
      <c r="C105" s="5"/>
      <c r="D105" s="5"/>
      <c r="E105" s="5"/>
    </row>
    <row r="106">
      <c r="B106" s="5"/>
      <c r="C106" s="5"/>
      <c r="D106" s="5"/>
      <c r="E106" s="5"/>
    </row>
    <row r="107">
      <c r="B107" s="5"/>
      <c r="C107" s="5"/>
      <c r="D107" s="5"/>
      <c r="E107" s="5"/>
    </row>
    <row r="108">
      <c r="B108" s="5"/>
      <c r="C108" s="5"/>
      <c r="D108" s="5"/>
      <c r="E108" s="5"/>
    </row>
    <row r="109">
      <c r="B109" s="5"/>
      <c r="C109" s="5"/>
      <c r="D109" s="5"/>
      <c r="E109" s="5"/>
    </row>
    <row r="110">
      <c r="B110" s="5"/>
      <c r="C110" s="5"/>
      <c r="D110" s="5"/>
      <c r="E110" s="5"/>
    </row>
    <row r="111">
      <c r="B111" s="5"/>
      <c r="C111" s="5"/>
      <c r="D111" s="5"/>
      <c r="E111" s="5"/>
    </row>
    <row r="112">
      <c r="B112" s="5"/>
      <c r="C112" s="5"/>
      <c r="D112" s="5"/>
      <c r="E112" s="5"/>
    </row>
    <row r="113">
      <c r="B113" s="5"/>
      <c r="C113" s="5"/>
      <c r="D113" s="5"/>
      <c r="E113" s="5"/>
    </row>
    <row r="114">
      <c r="B114" s="5"/>
      <c r="C114" s="5"/>
      <c r="D114" s="5"/>
      <c r="E114" s="5"/>
    </row>
    <row r="115">
      <c r="B115" s="5"/>
      <c r="C115" s="5"/>
      <c r="D115" s="5"/>
      <c r="E115" s="5"/>
    </row>
    <row r="116">
      <c r="B116" s="5"/>
      <c r="C116" s="5"/>
      <c r="D116" s="5"/>
      <c r="E116" s="5"/>
    </row>
    <row r="117">
      <c r="B117" s="5"/>
      <c r="C117" s="5"/>
      <c r="D117" s="5"/>
      <c r="E117" s="5"/>
    </row>
    <row r="118">
      <c r="B118" s="5"/>
      <c r="C118" s="5"/>
      <c r="D118" s="5"/>
      <c r="E118" s="5"/>
    </row>
    <row r="119">
      <c r="B119" s="5"/>
      <c r="C119" s="5"/>
      <c r="D119" s="5"/>
      <c r="E119" s="5"/>
    </row>
    <row r="120">
      <c r="B120" s="5"/>
      <c r="C120" s="5"/>
      <c r="D120" s="5"/>
      <c r="E120" s="5"/>
    </row>
    <row r="121">
      <c r="B121" s="5"/>
      <c r="C121" s="5"/>
      <c r="D121" s="5"/>
      <c r="E121" s="5"/>
    </row>
    <row r="122">
      <c r="B122" s="5"/>
      <c r="C122" s="5"/>
      <c r="D122" s="5"/>
      <c r="E122" s="5"/>
    </row>
    <row r="123">
      <c r="B123" s="5"/>
      <c r="C123" s="5"/>
      <c r="D123" s="5"/>
      <c r="E123" s="5"/>
    </row>
    <row r="124">
      <c r="B124" s="5"/>
      <c r="C124" s="5"/>
      <c r="D124" s="5"/>
      <c r="E124" s="5"/>
    </row>
    <row r="125">
      <c r="B125" s="5"/>
      <c r="C125" s="5"/>
      <c r="D125" s="5"/>
      <c r="E125" s="5"/>
    </row>
    <row r="126">
      <c r="B126" s="5"/>
      <c r="C126" s="5"/>
      <c r="D126" s="5"/>
      <c r="E126" s="5"/>
    </row>
    <row r="127">
      <c r="B127" s="5"/>
      <c r="C127" s="5"/>
      <c r="D127" s="5"/>
      <c r="E127" s="5"/>
    </row>
    <row r="128">
      <c r="B128" s="5"/>
      <c r="C128" s="5"/>
      <c r="D128" s="5"/>
      <c r="E128" s="5"/>
    </row>
    <row r="129">
      <c r="B129" s="5"/>
      <c r="C129" s="5"/>
      <c r="D129" s="5"/>
      <c r="E129" s="5"/>
    </row>
    <row r="130">
      <c r="B130" s="5"/>
      <c r="C130" s="5"/>
      <c r="D130" s="5"/>
      <c r="E130" s="5"/>
    </row>
    <row r="131">
      <c r="B131" s="5"/>
      <c r="C131" s="5"/>
      <c r="D131" s="5"/>
      <c r="E131" s="5"/>
    </row>
    <row r="132">
      <c r="B132" s="5"/>
      <c r="C132" s="5"/>
      <c r="D132" s="5"/>
      <c r="E132" s="5"/>
    </row>
    <row r="133">
      <c r="B133" s="5"/>
      <c r="C133" s="5"/>
      <c r="D133" s="5"/>
      <c r="E133" s="5"/>
    </row>
    <row r="134">
      <c r="B134" s="5"/>
      <c r="C134" s="5"/>
      <c r="D134" s="5"/>
      <c r="E134" s="5"/>
    </row>
    <row r="135">
      <c r="B135" s="5"/>
      <c r="C135" s="5"/>
      <c r="D135" s="5"/>
      <c r="E135" s="5"/>
    </row>
    <row r="136">
      <c r="B136" s="5"/>
      <c r="C136" s="5"/>
      <c r="D136" s="5"/>
      <c r="E136" s="5"/>
    </row>
    <row r="137">
      <c r="B137" s="5"/>
      <c r="C137" s="5"/>
      <c r="D137" s="5"/>
      <c r="E137" s="5"/>
    </row>
    <row r="138">
      <c r="B138" s="5"/>
      <c r="C138" s="5"/>
      <c r="D138" s="5"/>
      <c r="E138" s="5"/>
    </row>
    <row r="139">
      <c r="B139" s="5"/>
      <c r="C139" s="5"/>
      <c r="D139" s="5"/>
      <c r="E139" s="5"/>
    </row>
    <row r="140">
      <c r="B140" s="5"/>
      <c r="C140" s="5"/>
      <c r="D140" s="5"/>
      <c r="E140" s="5"/>
    </row>
    <row r="141">
      <c r="B141" s="5"/>
      <c r="C141" s="5"/>
      <c r="D141" s="5"/>
      <c r="E141" s="5"/>
    </row>
    <row r="142">
      <c r="B142" s="5"/>
      <c r="C142" s="5"/>
      <c r="D142" s="5"/>
      <c r="E142" s="5"/>
    </row>
    <row r="143">
      <c r="B143" s="5"/>
      <c r="C143" s="5"/>
      <c r="D143" s="5"/>
      <c r="E143" s="5"/>
    </row>
    <row r="144">
      <c r="B144" s="5"/>
      <c r="C144" s="5"/>
      <c r="D144" s="5"/>
      <c r="E144" s="5"/>
    </row>
    <row r="145">
      <c r="B145" s="5"/>
      <c r="C145" s="5"/>
      <c r="D145" s="5"/>
      <c r="E145" s="5"/>
    </row>
    <row r="146">
      <c r="B146" s="5"/>
      <c r="C146" s="5"/>
      <c r="D146" s="5"/>
      <c r="E146" s="5"/>
    </row>
    <row r="147">
      <c r="B147" s="5"/>
      <c r="C147" s="5"/>
      <c r="D147" s="5"/>
      <c r="E147" s="5"/>
    </row>
    <row r="148">
      <c r="B148" s="5"/>
      <c r="C148" s="5"/>
      <c r="D148" s="5"/>
      <c r="E148" s="5"/>
    </row>
    <row r="149">
      <c r="B149" s="5"/>
      <c r="C149" s="5"/>
      <c r="D149" s="5"/>
      <c r="E149" s="5"/>
    </row>
    <row r="150">
      <c r="B150" s="5"/>
      <c r="C150" s="5"/>
      <c r="D150" s="5"/>
      <c r="E150" s="5"/>
    </row>
    <row r="151">
      <c r="B151" s="5"/>
      <c r="C151" s="5"/>
      <c r="D151" s="5"/>
      <c r="E151" s="5"/>
    </row>
    <row r="152">
      <c r="B152" s="5"/>
      <c r="C152" s="5"/>
      <c r="D152" s="5"/>
      <c r="E152" s="5"/>
    </row>
    <row r="153">
      <c r="B153" s="5"/>
      <c r="C153" s="5"/>
      <c r="D153" s="5"/>
      <c r="E153" s="5"/>
    </row>
    <row r="154">
      <c r="B154" s="5"/>
      <c r="C154" s="5"/>
      <c r="D154" s="5"/>
      <c r="E154" s="5"/>
    </row>
    <row r="155">
      <c r="B155" s="5"/>
      <c r="C155" s="5"/>
      <c r="D155" s="5"/>
      <c r="E155" s="5"/>
    </row>
    <row r="156">
      <c r="B156" s="5"/>
      <c r="C156" s="5"/>
      <c r="D156" s="5"/>
      <c r="E156" s="5"/>
    </row>
    <row r="157">
      <c r="B157" s="5"/>
      <c r="C157" s="5"/>
      <c r="D157" s="5"/>
      <c r="E157" s="5"/>
    </row>
    <row r="158">
      <c r="B158" s="5"/>
      <c r="C158" s="5"/>
      <c r="D158" s="5"/>
      <c r="E158" s="5"/>
    </row>
    <row r="159">
      <c r="B159" s="5"/>
      <c r="C159" s="5"/>
      <c r="D159" s="5"/>
      <c r="E159" s="5"/>
    </row>
    <row r="160">
      <c r="B160" s="5"/>
      <c r="C160" s="5"/>
      <c r="D160" s="5"/>
      <c r="E160" s="5"/>
    </row>
    <row r="161">
      <c r="B161" s="5"/>
      <c r="C161" s="5"/>
      <c r="D161" s="5"/>
      <c r="E161" s="5"/>
    </row>
    <row r="162">
      <c r="B162" s="5"/>
      <c r="C162" s="5"/>
      <c r="D162" s="5"/>
      <c r="E162" s="5"/>
    </row>
    <row r="163">
      <c r="B163" s="5"/>
      <c r="C163" s="5"/>
      <c r="D163" s="5"/>
      <c r="E163" s="5"/>
    </row>
    <row r="164">
      <c r="B164" s="5"/>
      <c r="C164" s="5"/>
      <c r="D164" s="5"/>
      <c r="E164" s="5"/>
    </row>
    <row r="165">
      <c r="B165" s="5"/>
      <c r="C165" s="5"/>
      <c r="D165" s="5"/>
      <c r="E165" s="5"/>
    </row>
    <row r="166">
      <c r="B166" s="5"/>
      <c r="C166" s="5"/>
      <c r="D166" s="5"/>
      <c r="E166" s="5"/>
    </row>
    <row r="167">
      <c r="B167" s="5"/>
      <c r="C167" s="5"/>
      <c r="D167" s="5"/>
      <c r="E167" s="5"/>
    </row>
    <row r="168">
      <c r="B168" s="5"/>
      <c r="C168" s="5"/>
      <c r="D168" s="5"/>
      <c r="E168" s="5"/>
    </row>
    <row r="169">
      <c r="B169" s="5"/>
      <c r="C169" s="5"/>
      <c r="D169" s="5"/>
      <c r="E169" s="5"/>
    </row>
    <row r="170">
      <c r="B170" s="5"/>
      <c r="C170" s="5"/>
      <c r="D170" s="5"/>
      <c r="E170" s="5"/>
    </row>
    <row r="171">
      <c r="B171" s="5"/>
      <c r="C171" s="5"/>
      <c r="D171" s="5"/>
      <c r="E171" s="5"/>
    </row>
    <row r="172">
      <c r="B172" s="5"/>
      <c r="C172" s="5"/>
      <c r="D172" s="5"/>
      <c r="E172" s="5"/>
    </row>
    <row r="173">
      <c r="B173" s="5"/>
      <c r="C173" s="5"/>
      <c r="D173" s="5"/>
      <c r="E173" s="5"/>
    </row>
    <row r="174">
      <c r="B174" s="5"/>
      <c r="C174" s="5"/>
      <c r="D174" s="5"/>
      <c r="E174" s="5"/>
    </row>
    <row r="175">
      <c r="B175" s="5"/>
      <c r="C175" s="5"/>
      <c r="D175" s="5"/>
      <c r="E175" s="5"/>
    </row>
    <row r="176">
      <c r="B176" s="5"/>
      <c r="C176" s="5"/>
      <c r="D176" s="5"/>
      <c r="E176" s="5"/>
    </row>
    <row r="177">
      <c r="B177" s="5"/>
      <c r="C177" s="5"/>
      <c r="D177" s="5"/>
      <c r="E177" s="5"/>
    </row>
    <row r="178">
      <c r="B178" s="5"/>
      <c r="C178" s="5"/>
      <c r="D178" s="5"/>
      <c r="E178" s="5"/>
    </row>
    <row r="179">
      <c r="B179" s="5"/>
      <c r="C179" s="5"/>
      <c r="D179" s="5"/>
      <c r="E179" s="5"/>
    </row>
    <row r="180">
      <c r="B180" s="5"/>
      <c r="C180" s="5"/>
      <c r="D180" s="5"/>
      <c r="E180" s="5"/>
    </row>
    <row r="181">
      <c r="B181" s="5"/>
      <c r="C181" s="5"/>
      <c r="D181" s="5"/>
      <c r="E181" s="5"/>
    </row>
    <row r="182">
      <c r="B182" s="5"/>
      <c r="C182" s="5"/>
      <c r="D182" s="5"/>
      <c r="E182" s="5"/>
    </row>
    <row r="183">
      <c r="B183" s="5"/>
      <c r="C183" s="5"/>
      <c r="D183" s="5"/>
      <c r="E183" s="5"/>
    </row>
    <row r="184">
      <c r="B184" s="5"/>
      <c r="C184" s="5"/>
      <c r="D184" s="5"/>
      <c r="E184" s="5"/>
    </row>
    <row r="185">
      <c r="B185" s="5"/>
      <c r="C185" s="5"/>
      <c r="D185" s="5"/>
      <c r="E185" s="5"/>
    </row>
    <row r="186">
      <c r="B186" s="5"/>
      <c r="C186" s="5"/>
      <c r="D186" s="5"/>
      <c r="E186" s="5"/>
    </row>
    <row r="187">
      <c r="B187" s="5"/>
      <c r="C187" s="5"/>
      <c r="D187" s="5"/>
      <c r="E187" s="5"/>
    </row>
    <row r="188">
      <c r="B188" s="5"/>
      <c r="C188" s="5"/>
      <c r="D188" s="5"/>
      <c r="E188" s="5"/>
    </row>
    <row r="189">
      <c r="B189" s="5"/>
      <c r="C189" s="5"/>
      <c r="D189" s="5"/>
      <c r="E189" s="5"/>
    </row>
    <row r="190">
      <c r="B190" s="5"/>
      <c r="C190" s="5"/>
      <c r="D190" s="5"/>
      <c r="E190" s="5"/>
    </row>
    <row r="191">
      <c r="B191" s="5"/>
      <c r="C191" s="5"/>
      <c r="D191" s="5"/>
      <c r="E191" s="5"/>
    </row>
    <row r="192">
      <c r="B192" s="5"/>
      <c r="C192" s="5"/>
      <c r="D192" s="5"/>
      <c r="E192" s="5"/>
    </row>
    <row r="193">
      <c r="B193" s="5"/>
      <c r="C193" s="5"/>
      <c r="D193" s="5"/>
      <c r="E193" s="5"/>
    </row>
    <row r="194">
      <c r="B194" s="5"/>
      <c r="C194" s="5"/>
      <c r="D194" s="5"/>
      <c r="E194" s="5"/>
    </row>
    <row r="195">
      <c r="B195" s="5"/>
      <c r="C195" s="5"/>
      <c r="D195" s="5"/>
      <c r="E195" s="5"/>
    </row>
    <row r="196">
      <c r="B196" s="5"/>
      <c r="C196" s="5"/>
      <c r="D196" s="5"/>
      <c r="E196" s="5"/>
    </row>
    <row r="197">
      <c r="B197" s="5"/>
      <c r="C197" s="5"/>
      <c r="D197" s="5"/>
      <c r="E197" s="5"/>
    </row>
    <row r="198">
      <c r="B198" s="5"/>
      <c r="C198" s="5"/>
      <c r="D198" s="5"/>
      <c r="E198" s="5"/>
    </row>
    <row r="199">
      <c r="B199" s="5"/>
      <c r="C199" s="5"/>
      <c r="D199" s="5"/>
      <c r="E199" s="5"/>
    </row>
    <row r="200">
      <c r="B200" s="5"/>
      <c r="C200" s="5"/>
      <c r="D200" s="5"/>
      <c r="E200" s="5"/>
    </row>
    <row r="201">
      <c r="B201" s="5"/>
      <c r="C201" s="5"/>
      <c r="D201" s="5"/>
      <c r="E201" s="5"/>
    </row>
    <row r="202">
      <c r="B202" s="5"/>
      <c r="C202" s="5"/>
      <c r="D202" s="5"/>
      <c r="E202" s="5"/>
    </row>
    <row r="203">
      <c r="B203" s="5"/>
      <c r="C203" s="5"/>
      <c r="D203" s="5"/>
      <c r="E203" s="5"/>
    </row>
    <row r="204">
      <c r="B204" s="5"/>
      <c r="C204" s="5"/>
      <c r="D204" s="5"/>
      <c r="E204" s="5"/>
    </row>
    <row r="205">
      <c r="B205" s="5"/>
      <c r="C205" s="5"/>
      <c r="D205" s="5"/>
      <c r="E205" s="5"/>
    </row>
    <row r="206">
      <c r="B206" s="5"/>
      <c r="C206" s="5"/>
      <c r="D206" s="5"/>
      <c r="E206" s="5"/>
    </row>
    <row r="207">
      <c r="B207" s="5"/>
      <c r="C207" s="5"/>
      <c r="D207" s="5"/>
      <c r="E207" s="5"/>
    </row>
    <row r="208">
      <c r="B208" s="5"/>
      <c r="C208" s="5"/>
      <c r="D208" s="5"/>
      <c r="E208" s="5"/>
    </row>
    <row r="209">
      <c r="B209" s="5"/>
      <c r="C209" s="5"/>
      <c r="D209" s="5"/>
      <c r="E209" s="5"/>
    </row>
    <row r="210">
      <c r="B210" s="5"/>
      <c r="C210" s="5"/>
      <c r="D210" s="5"/>
      <c r="E210" s="5"/>
    </row>
    <row r="211">
      <c r="B211" s="5"/>
      <c r="C211" s="5"/>
      <c r="D211" s="5"/>
      <c r="E211" s="5"/>
    </row>
    <row r="212">
      <c r="B212" s="5"/>
      <c r="C212" s="5"/>
      <c r="D212" s="5"/>
      <c r="E212" s="5"/>
    </row>
    <row r="213">
      <c r="B213" s="5"/>
      <c r="C213" s="5"/>
      <c r="D213" s="5"/>
      <c r="E213" s="5"/>
    </row>
    <row r="214">
      <c r="B214" s="5"/>
      <c r="C214" s="5"/>
      <c r="D214" s="5"/>
      <c r="E214" s="5"/>
    </row>
    <row r="215">
      <c r="B215" s="5"/>
      <c r="C215" s="5"/>
      <c r="D215" s="5"/>
      <c r="E215" s="5"/>
    </row>
    <row r="216">
      <c r="B216" s="5"/>
      <c r="C216" s="5"/>
      <c r="D216" s="5"/>
      <c r="E216" s="5"/>
    </row>
    <row r="217">
      <c r="B217" s="5"/>
      <c r="C217" s="5"/>
      <c r="D217" s="5"/>
      <c r="E217" s="5"/>
    </row>
    <row r="218">
      <c r="B218" s="5"/>
      <c r="C218" s="5"/>
      <c r="D218" s="5"/>
      <c r="E218" s="5"/>
    </row>
    <row r="219">
      <c r="B219" s="5"/>
      <c r="C219" s="5"/>
      <c r="D219" s="5"/>
      <c r="E219" s="5"/>
    </row>
    <row r="220">
      <c r="B220" s="5"/>
      <c r="C220" s="5"/>
      <c r="D220" s="5"/>
      <c r="E220" s="5"/>
    </row>
    <row r="221">
      <c r="B221" s="5"/>
      <c r="C221" s="5"/>
      <c r="D221" s="5"/>
      <c r="E221" s="5"/>
    </row>
    <row r="222">
      <c r="B222" s="5"/>
      <c r="C222" s="5"/>
      <c r="D222" s="5"/>
      <c r="E222" s="5"/>
    </row>
    <row r="223">
      <c r="B223" s="5"/>
      <c r="C223" s="5"/>
      <c r="D223" s="5"/>
      <c r="E223" s="5"/>
    </row>
    <row r="224">
      <c r="B224" s="5"/>
      <c r="C224" s="5"/>
      <c r="D224" s="5"/>
      <c r="E224" s="5"/>
    </row>
    <row r="225">
      <c r="B225" s="5"/>
      <c r="C225" s="5"/>
      <c r="D225" s="5"/>
      <c r="E225" s="5"/>
    </row>
    <row r="226">
      <c r="B226" s="5"/>
      <c r="C226" s="5"/>
      <c r="D226" s="5"/>
      <c r="E226" s="5"/>
    </row>
    <row r="227">
      <c r="B227" s="5"/>
      <c r="C227" s="5"/>
      <c r="D227" s="5"/>
      <c r="E227" s="5"/>
    </row>
    <row r="228">
      <c r="B228" s="5"/>
      <c r="C228" s="5"/>
      <c r="D228" s="5"/>
      <c r="E228" s="5"/>
    </row>
    <row r="229">
      <c r="B229" s="5"/>
      <c r="C229" s="5"/>
      <c r="D229" s="5"/>
      <c r="E229" s="5"/>
    </row>
    <row r="230">
      <c r="B230" s="5"/>
      <c r="C230" s="5"/>
      <c r="D230" s="5"/>
      <c r="E230" s="5"/>
    </row>
    <row r="231">
      <c r="B231" s="5"/>
      <c r="C231" s="5"/>
      <c r="D231" s="5"/>
      <c r="E231" s="5"/>
    </row>
    <row r="232">
      <c r="B232" s="5"/>
      <c r="C232" s="5"/>
      <c r="D232" s="5"/>
      <c r="E232" s="5"/>
    </row>
    <row r="233">
      <c r="B233" s="5"/>
      <c r="C233" s="5"/>
      <c r="D233" s="5"/>
      <c r="E233" s="5"/>
    </row>
    <row r="234">
      <c r="B234" s="5"/>
      <c r="C234" s="5"/>
      <c r="D234" s="5"/>
      <c r="E234" s="5"/>
    </row>
    <row r="235">
      <c r="B235" s="5"/>
      <c r="C235" s="5"/>
      <c r="D235" s="5"/>
      <c r="E235" s="5"/>
    </row>
    <row r="236">
      <c r="B236" s="5"/>
      <c r="C236" s="5"/>
      <c r="D236" s="5"/>
      <c r="E236" s="5"/>
    </row>
    <row r="237">
      <c r="B237" s="5"/>
      <c r="C237" s="5"/>
      <c r="D237" s="5"/>
      <c r="E237" s="5"/>
    </row>
    <row r="238">
      <c r="B238" s="5"/>
      <c r="C238" s="5"/>
      <c r="D238" s="5"/>
      <c r="E238" s="5"/>
    </row>
    <row r="239">
      <c r="B239" s="5"/>
      <c r="C239" s="5"/>
      <c r="D239" s="5"/>
      <c r="E239" s="5"/>
    </row>
    <row r="240">
      <c r="B240" s="5"/>
      <c r="C240" s="5"/>
      <c r="D240" s="5"/>
      <c r="E240" s="5"/>
    </row>
    <row r="241">
      <c r="B241" s="5"/>
      <c r="C241" s="5"/>
      <c r="D241" s="5"/>
      <c r="E241" s="5"/>
    </row>
    <row r="242">
      <c r="B242" s="5"/>
      <c r="C242" s="5"/>
      <c r="D242" s="5"/>
      <c r="E242" s="5"/>
    </row>
    <row r="243">
      <c r="B243" s="5"/>
      <c r="C243" s="5"/>
      <c r="D243" s="5"/>
      <c r="E243" s="5"/>
    </row>
    <row r="244">
      <c r="B244" s="5"/>
      <c r="C244" s="5"/>
      <c r="D244" s="5"/>
      <c r="E244" s="5"/>
    </row>
    <row r="245">
      <c r="B245" s="5"/>
      <c r="C245" s="5"/>
      <c r="D245" s="5"/>
      <c r="E245" s="5"/>
    </row>
    <row r="246">
      <c r="B246" s="5"/>
      <c r="C246" s="5"/>
      <c r="D246" s="5"/>
      <c r="E246" s="5"/>
    </row>
    <row r="247">
      <c r="B247" s="5"/>
      <c r="C247" s="5"/>
      <c r="D247" s="5"/>
      <c r="E247" s="5"/>
    </row>
    <row r="248">
      <c r="B248" s="5"/>
      <c r="C248" s="5"/>
      <c r="D248" s="5"/>
      <c r="E248" s="5"/>
    </row>
    <row r="249">
      <c r="B249" s="5"/>
      <c r="C249" s="5"/>
      <c r="D249" s="5"/>
      <c r="E249" s="5"/>
    </row>
    <row r="250">
      <c r="B250" s="5"/>
      <c r="C250" s="5"/>
      <c r="D250" s="5"/>
      <c r="E250" s="5"/>
    </row>
    <row r="251">
      <c r="B251" s="5"/>
      <c r="C251" s="5"/>
      <c r="D251" s="5"/>
      <c r="E251" s="5"/>
    </row>
    <row r="252">
      <c r="B252" s="5"/>
      <c r="C252" s="5"/>
      <c r="D252" s="5"/>
      <c r="E252" s="5"/>
    </row>
    <row r="253">
      <c r="B253" s="5"/>
      <c r="C253" s="5"/>
      <c r="D253" s="5"/>
      <c r="E253" s="5"/>
    </row>
    <row r="254">
      <c r="B254" s="5"/>
      <c r="C254" s="5"/>
      <c r="D254" s="5"/>
      <c r="E254" s="5"/>
    </row>
    <row r="255">
      <c r="B255" s="5"/>
      <c r="C255" s="5"/>
      <c r="D255" s="5"/>
      <c r="E255" s="5"/>
    </row>
    <row r="256">
      <c r="B256" s="5"/>
      <c r="C256" s="5"/>
      <c r="D256" s="5"/>
      <c r="E256" s="5"/>
    </row>
    <row r="257">
      <c r="B257" s="5"/>
      <c r="C257" s="5"/>
      <c r="D257" s="5"/>
      <c r="E257" s="5"/>
    </row>
    <row r="258">
      <c r="B258" s="5"/>
      <c r="C258" s="5"/>
      <c r="D258" s="5"/>
      <c r="E258" s="5"/>
    </row>
    <row r="259">
      <c r="B259" s="5"/>
      <c r="C259" s="5"/>
      <c r="D259" s="5"/>
      <c r="E259" s="5"/>
    </row>
    <row r="260">
      <c r="B260" s="5"/>
      <c r="C260" s="5"/>
      <c r="D260" s="5"/>
      <c r="E260" s="5"/>
    </row>
    <row r="261">
      <c r="B261" s="5"/>
      <c r="C261" s="5"/>
      <c r="D261" s="5"/>
      <c r="E261" s="5"/>
    </row>
    <row r="262">
      <c r="B262" s="5"/>
      <c r="C262" s="5"/>
      <c r="D262" s="5"/>
      <c r="E262" s="5"/>
    </row>
    <row r="263">
      <c r="B263" s="5"/>
      <c r="C263" s="5"/>
      <c r="D263" s="5"/>
      <c r="E263" s="5"/>
    </row>
    <row r="264">
      <c r="B264" s="5"/>
      <c r="C264" s="5"/>
      <c r="D264" s="5"/>
      <c r="E264" s="5"/>
    </row>
    <row r="265">
      <c r="B265" s="5"/>
      <c r="C265" s="5"/>
      <c r="D265" s="5"/>
      <c r="E265" s="5"/>
    </row>
    <row r="266">
      <c r="B266" s="5"/>
      <c r="C266" s="5"/>
      <c r="D266" s="5"/>
      <c r="E266" s="5"/>
    </row>
    <row r="267">
      <c r="B267" s="5"/>
      <c r="C267" s="5"/>
      <c r="D267" s="5"/>
      <c r="E267" s="5"/>
    </row>
    <row r="268">
      <c r="B268" s="5"/>
      <c r="C268" s="5"/>
      <c r="D268" s="5"/>
      <c r="E268" s="5"/>
    </row>
    <row r="269">
      <c r="B269" s="5"/>
      <c r="C269" s="5"/>
      <c r="D269" s="5"/>
      <c r="E269" s="5"/>
    </row>
    <row r="270">
      <c r="B270" s="5"/>
      <c r="C270" s="5"/>
      <c r="D270" s="5"/>
      <c r="E270" s="5"/>
    </row>
    <row r="271">
      <c r="B271" s="5"/>
      <c r="C271" s="5"/>
      <c r="D271" s="5"/>
      <c r="E271" s="5"/>
    </row>
    <row r="272">
      <c r="B272" s="5"/>
      <c r="C272" s="5"/>
      <c r="D272" s="5"/>
      <c r="E272" s="5"/>
    </row>
    <row r="273">
      <c r="B273" s="5"/>
      <c r="C273" s="5"/>
      <c r="D273" s="5"/>
      <c r="E273" s="5"/>
    </row>
    <row r="274">
      <c r="B274" s="5"/>
      <c r="C274" s="5"/>
      <c r="D274" s="5"/>
      <c r="E274" s="5"/>
    </row>
    <row r="275">
      <c r="B275" s="5"/>
      <c r="C275" s="5"/>
      <c r="D275" s="5"/>
      <c r="E275" s="5"/>
    </row>
    <row r="276">
      <c r="B276" s="5"/>
      <c r="C276" s="5"/>
      <c r="D276" s="5"/>
      <c r="E276" s="5"/>
    </row>
    <row r="277">
      <c r="B277" s="5"/>
      <c r="C277" s="5"/>
      <c r="D277" s="5"/>
      <c r="E277" s="5"/>
    </row>
    <row r="278">
      <c r="B278" s="5"/>
      <c r="C278" s="5"/>
      <c r="D278" s="5"/>
      <c r="E278" s="5"/>
    </row>
    <row r="279">
      <c r="B279" s="5"/>
      <c r="C279" s="5"/>
      <c r="D279" s="5"/>
      <c r="E279" s="5"/>
    </row>
    <row r="280">
      <c r="B280" s="5"/>
      <c r="C280" s="5"/>
      <c r="D280" s="5"/>
      <c r="E280" s="5"/>
    </row>
    <row r="281">
      <c r="B281" s="5"/>
      <c r="C281" s="5"/>
      <c r="D281" s="5"/>
      <c r="E281" s="5"/>
    </row>
    <row r="282">
      <c r="B282" s="5"/>
      <c r="C282" s="5"/>
      <c r="D282" s="5"/>
      <c r="E282" s="5"/>
    </row>
    <row r="283">
      <c r="B283" s="5"/>
      <c r="C283" s="5"/>
      <c r="D283" s="5"/>
      <c r="E283" s="5"/>
    </row>
    <row r="284">
      <c r="B284" s="5"/>
      <c r="C284" s="5"/>
      <c r="D284" s="5"/>
      <c r="E284" s="5"/>
    </row>
    <row r="285">
      <c r="B285" s="5"/>
      <c r="C285" s="5"/>
      <c r="D285" s="5"/>
      <c r="E285" s="5"/>
    </row>
    <row r="286">
      <c r="B286" s="5"/>
      <c r="C286" s="5"/>
      <c r="D286" s="5"/>
      <c r="E286" s="5"/>
    </row>
    <row r="287">
      <c r="B287" s="5"/>
      <c r="C287" s="5"/>
      <c r="D287" s="5"/>
      <c r="E287" s="5"/>
    </row>
    <row r="288">
      <c r="B288" s="5"/>
      <c r="C288" s="5"/>
      <c r="D288" s="5"/>
      <c r="E288" s="5"/>
    </row>
    <row r="289">
      <c r="B289" s="5"/>
      <c r="C289" s="5"/>
      <c r="D289" s="5"/>
      <c r="E289" s="5"/>
    </row>
    <row r="290">
      <c r="B290" s="5"/>
      <c r="C290" s="5"/>
      <c r="D290" s="5"/>
      <c r="E290" s="5"/>
    </row>
    <row r="291">
      <c r="B291" s="5"/>
      <c r="C291" s="5"/>
      <c r="D291" s="5"/>
      <c r="E291" s="5"/>
    </row>
    <row r="292">
      <c r="B292" s="5"/>
      <c r="C292" s="5"/>
      <c r="D292" s="5"/>
      <c r="E292" s="5"/>
    </row>
    <row r="293">
      <c r="B293" s="5"/>
      <c r="C293" s="5"/>
      <c r="D293" s="5"/>
      <c r="E293" s="5"/>
    </row>
    <row r="294">
      <c r="B294" s="5"/>
      <c r="C294" s="5"/>
      <c r="D294" s="5"/>
      <c r="E294" s="5"/>
    </row>
    <row r="295">
      <c r="B295" s="5"/>
      <c r="C295" s="5"/>
      <c r="D295" s="5"/>
      <c r="E295" s="5"/>
    </row>
    <row r="296">
      <c r="B296" s="5"/>
      <c r="C296" s="5"/>
      <c r="D296" s="5"/>
      <c r="E296" s="5"/>
    </row>
    <row r="297">
      <c r="B297" s="5"/>
      <c r="C297" s="5"/>
      <c r="D297" s="5"/>
      <c r="E297" s="5"/>
    </row>
    <row r="298">
      <c r="B298" s="5"/>
      <c r="C298" s="5"/>
      <c r="D298" s="5"/>
      <c r="E298" s="5"/>
    </row>
    <row r="299">
      <c r="B299" s="5"/>
      <c r="C299" s="5"/>
      <c r="D299" s="5"/>
      <c r="E299" s="5"/>
    </row>
    <row r="300">
      <c r="B300" s="5"/>
      <c r="C300" s="5"/>
      <c r="D300" s="5"/>
      <c r="E300" s="5"/>
    </row>
    <row r="301">
      <c r="B301" s="5"/>
      <c r="C301" s="5"/>
      <c r="D301" s="5"/>
      <c r="E301" s="5"/>
    </row>
    <row r="302">
      <c r="B302" s="5"/>
      <c r="C302" s="5"/>
      <c r="D302" s="5"/>
      <c r="E302" s="5"/>
    </row>
    <row r="303">
      <c r="B303" s="5"/>
      <c r="C303" s="5"/>
      <c r="D303" s="5"/>
      <c r="E303" s="5"/>
    </row>
    <row r="304">
      <c r="B304" s="5"/>
      <c r="C304" s="5"/>
      <c r="D304" s="5"/>
      <c r="E304" s="5"/>
    </row>
    <row r="305">
      <c r="B305" s="5"/>
      <c r="C305" s="5"/>
      <c r="D305" s="5"/>
      <c r="E305" s="5"/>
    </row>
    <row r="306">
      <c r="B306" s="5"/>
      <c r="C306" s="5"/>
      <c r="D306" s="5"/>
      <c r="E306" s="5"/>
    </row>
    <row r="307">
      <c r="B307" s="5"/>
      <c r="C307" s="5"/>
      <c r="D307" s="5"/>
      <c r="E307" s="5"/>
    </row>
    <row r="308">
      <c r="B308" s="5"/>
      <c r="C308" s="5"/>
      <c r="D308" s="5"/>
      <c r="E308" s="5"/>
    </row>
    <row r="309">
      <c r="B309" s="5"/>
      <c r="C309" s="5"/>
      <c r="D309" s="5"/>
      <c r="E309" s="5"/>
    </row>
    <row r="310">
      <c r="B310" s="5"/>
      <c r="C310" s="5"/>
      <c r="D310" s="5"/>
      <c r="E310" s="5"/>
    </row>
    <row r="311">
      <c r="B311" s="5"/>
      <c r="C311" s="5"/>
      <c r="D311" s="5"/>
      <c r="E311" s="5"/>
    </row>
    <row r="312">
      <c r="B312" s="5"/>
      <c r="C312" s="5"/>
      <c r="D312" s="5"/>
      <c r="E312" s="5"/>
    </row>
    <row r="313">
      <c r="B313" s="5"/>
      <c r="C313" s="5"/>
      <c r="D313" s="5"/>
      <c r="E313" s="5"/>
    </row>
    <row r="314">
      <c r="B314" s="5"/>
      <c r="C314" s="5"/>
      <c r="D314" s="5"/>
      <c r="E314" s="5"/>
    </row>
    <row r="315">
      <c r="B315" s="5"/>
      <c r="C315" s="5"/>
      <c r="D315" s="5"/>
      <c r="E315" s="5"/>
    </row>
    <row r="316">
      <c r="B316" s="5"/>
      <c r="C316" s="5"/>
      <c r="D316" s="5"/>
      <c r="E316" s="5"/>
    </row>
    <row r="317">
      <c r="B317" s="5"/>
      <c r="C317" s="5"/>
      <c r="D317" s="5"/>
      <c r="E317" s="5"/>
    </row>
    <row r="318">
      <c r="B318" s="5"/>
      <c r="C318" s="5"/>
      <c r="D318" s="5"/>
      <c r="E318" s="5"/>
    </row>
    <row r="319">
      <c r="B319" s="5"/>
      <c r="C319" s="5"/>
      <c r="D319" s="5"/>
      <c r="E319" s="5"/>
    </row>
    <row r="320">
      <c r="B320" s="5"/>
      <c r="C320" s="5"/>
      <c r="D320" s="5"/>
      <c r="E320" s="5"/>
    </row>
    <row r="321">
      <c r="B321" s="5"/>
      <c r="C321" s="5"/>
      <c r="D321" s="5"/>
      <c r="E321" s="5"/>
    </row>
    <row r="322">
      <c r="B322" s="5"/>
      <c r="C322" s="5"/>
      <c r="D322" s="5"/>
      <c r="E322" s="5"/>
    </row>
    <row r="323">
      <c r="B323" s="5"/>
      <c r="C323" s="5"/>
      <c r="D323" s="5"/>
      <c r="E323" s="5"/>
    </row>
    <row r="324">
      <c r="B324" s="5"/>
      <c r="C324" s="5"/>
      <c r="D324" s="5"/>
      <c r="E324" s="5"/>
    </row>
    <row r="325">
      <c r="B325" s="5"/>
      <c r="C325" s="5"/>
      <c r="D325" s="5"/>
      <c r="E325" s="5"/>
    </row>
    <row r="326">
      <c r="B326" s="5"/>
      <c r="C326" s="5"/>
      <c r="D326" s="5"/>
      <c r="E326" s="5"/>
    </row>
    <row r="327">
      <c r="B327" s="5"/>
      <c r="C327" s="5"/>
      <c r="D327" s="5"/>
      <c r="E327" s="5"/>
    </row>
    <row r="328">
      <c r="B328" s="5"/>
      <c r="C328" s="5"/>
      <c r="D328" s="5"/>
      <c r="E328" s="5"/>
    </row>
    <row r="329">
      <c r="B329" s="5"/>
      <c r="C329" s="5"/>
      <c r="D329" s="5"/>
      <c r="E329" s="5"/>
    </row>
    <row r="330">
      <c r="B330" s="5"/>
      <c r="C330" s="5"/>
      <c r="D330" s="5"/>
      <c r="E330" s="5"/>
    </row>
    <row r="331">
      <c r="B331" s="5"/>
      <c r="C331" s="5"/>
      <c r="D331" s="5"/>
      <c r="E331" s="5"/>
    </row>
    <row r="332">
      <c r="B332" s="5"/>
      <c r="C332" s="5"/>
      <c r="D332" s="5"/>
      <c r="E332" s="5"/>
    </row>
    <row r="333">
      <c r="B333" s="5"/>
      <c r="C333" s="5"/>
      <c r="D333" s="5"/>
      <c r="E333" s="5"/>
    </row>
    <row r="334">
      <c r="B334" s="5"/>
      <c r="C334" s="5"/>
      <c r="D334" s="5"/>
      <c r="E334" s="5"/>
    </row>
    <row r="335">
      <c r="B335" s="5"/>
      <c r="C335" s="5"/>
      <c r="D335" s="5"/>
      <c r="E335" s="5"/>
    </row>
    <row r="336">
      <c r="B336" s="5"/>
      <c r="C336" s="5"/>
      <c r="D336" s="5"/>
      <c r="E336" s="5"/>
    </row>
    <row r="337">
      <c r="B337" s="5"/>
      <c r="C337" s="5"/>
      <c r="D337" s="5"/>
      <c r="E337" s="5"/>
    </row>
    <row r="338">
      <c r="B338" s="5"/>
      <c r="C338" s="5"/>
      <c r="D338" s="5"/>
      <c r="E338" s="5"/>
    </row>
    <row r="339">
      <c r="B339" s="5"/>
      <c r="C339" s="5"/>
      <c r="D339" s="5"/>
      <c r="E339" s="5"/>
    </row>
    <row r="340">
      <c r="B340" s="5"/>
      <c r="C340" s="5"/>
      <c r="D340" s="5"/>
      <c r="E340" s="5"/>
    </row>
    <row r="341">
      <c r="B341" s="5"/>
      <c r="C341" s="5"/>
      <c r="D341" s="5"/>
      <c r="E341" s="5"/>
    </row>
    <row r="342">
      <c r="B342" s="5"/>
      <c r="C342" s="5"/>
      <c r="D342" s="5"/>
      <c r="E342" s="5"/>
    </row>
    <row r="343">
      <c r="B343" s="5"/>
      <c r="C343" s="5"/>
      <c r="D343" s="5"/>
      <c r="E343" s="5"/>
    </row>
    <row r="344">
      <c r="B344" s="5"/>
      <c r="C344" s="5"/>
      <c r="D344" s="5"/>
      <c r="E344" s="5"/>
    </row>
    <row r="345">
      <c r="B345" s="5"/>
      <c r="C345" s="5"/>
      <c r="D345" s="5"/>
      <c r="E345" s="5"/>
    </row>
    <row r="346">
      <c r="B346" s="5"/>
      <c r="C346" s="5"/>
      <c r="D346" s="5"/>
      <c r="E346" s="5"/>
    </row>
    <row r="347">
      <c r="B347" s="5"/>
      <c r="C347" s="5"/>
      <c r="D347" s="5"/>
      <c r="E347" s="5"/>
    </row>
    <row r="348">
      <c r="B348" s="5"/>
      <c r="C348" s="5"/>
      <c r="D348" s="5"/>
      <c r="E348" s="5"/>
    </row>
    <row r="349">
      <c r="B349" s="5"/>
      <c r="C349" s="5"/>
      <c r="D349" s="5"/>
      <c r="E349" s="5"/>
    </row>
    <row r="350">
      <c r="B350" s="5"/>
      <c r="C350" s="5"/>
      <c r="D350" s="5"/>
      <c r="E350" s="5"/>
    </row>
    <row r="351">
      <c r="B351" s="5"/>
      <c r="C351" s="5"/>
      <c r="D351" s="5"/>
      <c r="E351" s="5"/>
    </row>
    <row r="352">
      <c r="B352" s="5"/>
      <c r="C352" s="5"/>
      <c r="D352" s="5"/>
      <c r="E352" s="5"/>
    </row>
    <row r="353">
      <c r="B353" s="5"/>
      <c r="C353" s="5"/>
      <c r="D353" s="5"/>
      <c r="E353" s="5"/>
    </row>
    <row r="354">
      <c r="B354" s="5"/>
      <c r="C354" s="5"/>
      <c r="D354" s="5"/>
      <c r="E354" s="5"/>
    </row>
    <row r="355">
      <c r="B355" s="5"/>
      <c r="C355" s="5"/>
      <c r="D355" s="5"/>
      <c r="E355" s="5"/>
    </row>
    <row r="356">
      <c r="B356" s="5"/>
      <c r="C356" s="5"/>
      <c r="D356" s="5"/>
      <c r="E356" s="5"/>
    </row>
    <row r="357">
      <c r="B357" s="5"/>
      <c r="C357" s="5"/>
      <c r="D357" s="5"/>
      <c r="E357" s="5"/>
    </row>
    <row r="358">
      <c r="B358" s="5"/>
      <c r="C358" s="5"/>
      <c r="D358" s="5"/>
      <c r="E358" s="5"/>
    </row>
    <row r="359">
      <c r="B359" s="5"/>
      <c r="C359" s="5"/>
      <c r="D359" s="5"/>
      <c r="E359" s="5"/>
    </row>
    <row r="360">
      <c r="B360" s="5"/>
      <c r="C360" s="5"/>
      <c r="D360" s="5"/>
      <c r="E360" s="5"/>
    </row>
    <row r="361">
      <c r="B361" s="5"/>
      <c r="C361" s="5"/>
      <c r="D361" s="5"/>
      <c r="E361" s="5"/>
    </row>
    <row r="362">
      <c r="B362" s="5"/>
      <c r="C362" s="5"/>
      <c r="D362" s="5"/>
      <c r="E362" s="5"/>
    </row>
    <row r="363">
      <c r="B363" s="5"/>
      <c r="C363" s="5"/>
      <c r="D363" s="5"/>
      <c r="E363" s="5"/>
    </row>
    <row r="364">
      <c r="B364" s="5"/>
      <c r="C364" s="5"/>
      <c r="D364" s="5"/>
      <c r="E364" s="5"/>
    </row>
    <row r="365">
      <c r="B365" s="5"/>
      <c r="C365" s="5"/>
      <c r="D365" s="5"/>
      <c r="E365" s="5"/>
    </row>
    <row r="366">
      <c r="B366" s="5"/>
      <c r="C366" s="5"/>
      <c r="D366" s="5"/>
      <c r="E366" s="5"/>
    </row>
    <row r="367">
      <c r="B367" s="5"/>
      <c r="C367" s="5"/>
      <c r="D367" s="5"/>
      <c r="E367" s="5"/>
    </row>
    <row r="368">
      <c r="B368" s="5"/>
      <c r="C368" s="5"/>
      <c r="D368" s="5"/>
      <c r="E368" s="5"/>
    </row>
    <row r="369">
      <c r="B369" s="5"/>
      <c r="C369" s="5"/>
      <c r="D369" s="5"/>
      <c r="E369" s="5"/>
    </row>
    <row r="370">
      <c r="B370" s="5"/>
      <c r="C370" s="5"/>
      <c r="D370" s="5"/>
      <c r="E370" s="5"/>
    </row>
    <row r="371">
      <c r="B371" s="5"/>
      <c r="C371" s="5"/>
      <c r="D371" s="5"/>
      <c r="E371" s="5"/>
    </row>
    <row r="372">
      <c r="B372" s="5"/>
      <c r="C372" s="5"/>
      <c r="D372" s="5"/>
      <c r="E372" s="5"/>
    </row>
    <row r="373">
      <c r="B373" s="5"/>
      <c r="C373" s="5"/>
      <c r="D373" s="5"/>
      <c r="E373" s="5"/>
    </row>
    <row r="374">
      <c r="B374" s="5"/>
      <c r="C374" s="5"/>
      <c r="D374" s="5"/>
      <c r="E374" s="5"/>
    </row>
    <row r="375">
      <c r="B375" s="5"/>
      <c r="C375" s="5"/>
      <c r="D375" s="5"/>
      <c r="E375" s="5"/>
    </row>
    <row r="376">
      <c r="B376" s="5"/>
      <c r="C376" s="5"/>
      <c r="D376" s="5"/>
      <c r="E376" s="5"/>
    </row>
    <row r="377">
      <c r="B377" s="5"/>
      <c r="C377" s="5"/>
      <c r="D377" s="5"/>
      <c r="E377" s="5"/>
    </row>
    <row r="378">
      <c r="B378" s="5"/>
      <c r="C378" s="5"/>
      <c r="D378" s="5"/>
      <c r="E378" s="5"/>
    </row>
    <row r="379">
      <c r="B379" s="5"/>
      <c r="C379" s="5"/>
      <c r="D379" s="5"/>
      <c r="E379" s="5"/>
    </row>
    <row r="380">
      <c r="B380" s="5"/>
      <c r="C380" s="5"/>
      <c r="D380" s="5"/>
      <c r="E380" s="5"/>
    </row>
    <row r="381">
      <c r="B381" s="5"/>
      <c r="C381" s="5"/>
      <c r="D381" s="5"/>
      <c r="E381" s="5"/>
    </row>
    <row r="382">
      <c r="B382" s="5"/>
      <c r="C382" s="5"/>
      <c r="D382" s="5"/>
      <c r="E382" s="5"/>
    </row>
    <row r="383">
      <c r="B383" s="5"/>
      <c r="C383" s="5"/>
      <c r="D383" s="5"/>
      <c r="E383" s="5"/>
    </row>
    <row r="384">
      <c r="B384" s="5"/>
      <c r="C384" s="5"/>
      <c r="D384" s="5"/>
      <c r="E384" s="5"/>
    </row>
    <row r="385">
      <c r="B385" s="5"/>
      <c r="C385" s="5"/>
      <c r="D385" s="5"/>
      <c r="E385" s="5"/>
    </row>
    <row r="386">
      <c r="B386" s="5"/>
      <c r="C386" s="5"/>
      <c r="D386" s="5"/>
      <c r="E386" s="5"/>
    </row>
    <row r="387">
      <c r="B387" s="5"/>
      <c r="C387" s="5"/>
      <c r="D387" s="5"/>
      <c r="E387" s="5"/>
    </row>
    <row r="388">
      <c r="B388" s="5"/>
      <c r="C388" s="5"/>
      <c r="D388" s="5"/>
      <c r="E388" s="5"/>
    </row>
    <row r="389">
      <c r="B389" s="5"/>
      <c r="C389" s="5"/>
      <c r="D389" s="5"/>
      <c r="E389" s="5"/>
    </row>
    <row r="390">
      <c r="B390" s="5"/>
      <c r="C390" s="5"/>
      <c r="D390" s="5"/>
      <c r="E390" s="5"/>
    </row>
    <row r="391">
      <c r="B391" s="5"/>
      <c r="C391" s="5"/>
      <c r="D391" s="5"/>
      <c r="E391" s="5"/>
    </row>
    <row r="392">
      <c r="B392" s="5"/>
      <c r="C392" s="5"/>
      <c r="D392" s="5"/>
      <c r="E392" s="5"/>
    </row>
    <row r="393">
      <c r="B393" s="5"/>
      <c r="C393" s="5"/>
      <c r="D393" s="5"/>
      <c r="E393" s="5"/>
    </row>
    <row r="394">
      <c r="B394" s="5"/>
      <c r="C394" s="5"/>
      <c r="D394" s="5"/>
      <c r="E394" s="5"/>
    </row>
    <row r="395">
      <c r="B395" s="5"/>
      <c r="C395" s="5"/>
      <c r="D395" s="5"/>
      <c r="E395" s="5"/>
    </row>
    <row r="396">
      <c r="B396" s="5"/>
      <c r="C396" s="5"/>
      <c r="D396" s="5"/>
      <c r="E396" s="5"/>
    </row>
    <row r="397">
      <c r="B397" s="5"/>
      <c r="C397" s="5"/>
      <c r="D397" s="5"/>
      <c r="E397" s="5"/>
    </row>
    <row r="398">
      <c r="B398" s="5"/>
      <c r="C398" s="5"/>
      <c r="D398" s="5"/>
      <c r="E398" s="5"/>
    </row>
    <row r="399">
      <c r="B399" s="5"/>
      <c r="C399" s="5"/>
      <c r="D399" s="5"/>
      <c r="E399" s="5"/>
    </row>
    <row r="400">
      <c r="B400" s="5"/>
      <c r="C400" s="5"/>
      <c r="D400" s="5"/>
      <c r="E400" s="5"/>
    </row>
    <row r="401">
      <c r="B401" s="5"/>
      <c r="C401" s="5"/>
      <c r="D401" s="5"/>
      <c r="E401" s="5"/>
    </row>
    <row r="402">
      <c r="B402" s="5"/>
      <c r="C402" s="5"/>
      <c r="D402" s="5"/>
      <c r="E402" s="5"/>
    </row>
    <row r="403">
      <c r="B403" s="5"/>
      <c r="C403" s="5"/>
      <c r="D403" s="5"/>
      <c r="E403" s="5"/>
    </row>
    <row r="404">
      <c r="B404" s="5"/>
      <c r="C404" s="5"/>
      <c r="D404" s="5"/>
      <c r="E404" s="5"/>
    </row>
    <row r="405">
      <c r="B405" s="5"/>
      <c r="C405" s="5"/>
      <c r="D405" s="5"/>
      <c r="E405" s="5"/>
    </row>
    <row r="406">
      <c r="B406" s="5"/>
      <c r="C406" s="5"/>
      <c r="D406" s="5"/>
      <c r="E406" s="5"/>
    </row>
    <row r="407">
      <c r="B407" s="5"/>
      <c r="C407" s="5"/>
      <c r="D407" s="5"/>
      <c r="E407" s="5"/>
    </row>
    <row r="408">
      <c r="B408" s="5"/>
      <c r="C408" s="5"/>
      <c r="D408" s="5"/>
      <c r="E408" s="5"/>
    </row>
    <row r="409">
      <c r="B409" s="5"/>
      <c r="C409" s="5"/>
      <c r="D409" s="5"/>
      <c r="E409" s="5"/>
    </row>
    <row r="410">
      <c r="B410" s="5"/>
      <c r="C410" s="5"/>
      <c r="D410" s="5"/>
      <c r="E410" s="5"/>
    </row>
    <row r="411">
      <c r="B411" s="5"/>
      <c r="C411" s="5"/>
      <c r="D411" s="5"/>
      <c r="E411" s="5"/>
    </row>
    <row r="412">
      <c r="B412" s="5"/>
      <c r="C412" s="5"/>
      <c r="D412" s="5"/>
      <c r="E412" s="5"/>
    </row>
    <row r="413">
      <c r="B413" s="5"/>
      <c r="C413" s="5"/>
      <c r="D413" s="5"/>
      <c r="E413" s="5"/>
    </row>
    <row r="414">
      <c r="B414" s="5"/>
      <c r="C414" s="5"/>
      <c r="D414" s="5"/>
      <c r="E414" s="5"/>
    </row>
    <row r="415">
      <c r="B415" s="5"/>
      <c r="C415" s="5"/>
      <c r="D415" s="5"/>
      <c r="E415" s="5"/>
    </row>
    <row r="416">
      <c r="B416" s="5"/>
      <c r="C416" s="5"/>
      <c r="D416" s="5"/>
      <c r="E416" s="5"/>
    </row>
    <row r="417">
      <c r="B417" s="5"/>
      <c r="C417" s="5"/>
      <c r="D417" s="5"/>
      <c r="E417" s="5"/>
    </row>
    <row r="418">
      <c r="B418" s="5"/>
      <c r="C418" s="5"/>
      <c r="D418" s="5"/>
      <c r="E418" s="5"/>
    </row>
    <row r="419">
      <c r="B419" s="5"/>
      <c r="C419" s="5"/>
      <c r="D419" s="5"/>
      <c r="E419" s="5"/>
    </row>
    <row r="420">
      <c r="B420" s="5"/>
      <c r="C420" s="5"/>
      <c r="D420" s="5"/>
      <c r="E420" s="5"/>
    </row>
    <row r="421">
      <c r="B421" s="5"/>
      <c r="C421" s="5"/>
      <c r="D421" s="5"/>
      <c r="E421" s="5"/>
    </row>
    <row r="422">
      <c r="B422" s="5"/>
      <c r="C422" s="5"/>
      <c r="D422" s="5"/>
      <c r="E422" s="5"/>
    </row>
    <row r="423">
      <c r="B423" s="5"/>
      <c r="C423" s="5"/>
      <c r="D423" s="5"/>
      <c r="E423" s="5"/>
    </row>
    <row r="424">
      <c r="B424" s="5"/>
      <c r="C424" s="5"/>
      <c r="D424" s="5"/>
      <c r="E424" s="5"/>
    </row>
    <row r="425">
      <c r="B425" s="5"/>
      <c r="C425" s="5"/>
      <c r="D425" s="5"/>
      <c r="E425" s="5"/>
    </row>
    <row r="426">
      <c r="B426" s="5"/>
      <c r="C426" s="5"/>
      <c r="D426" s="5"/>
      <c r="E426" s="5"/>
    </row>
    <row r="427">
      <c r="B427" s="5"/>
      <c r="C427" s="5"/>
      <c r="D427" s="5"/>
      <c r="E427" s="5"/>
    </row>
    <row r="428">
      <c r="B428" s="5"/>
      <c r="C428" s="5"/>
      <c r="D428" s="5"/>
      <c r="E428" s="5"/>
    </row>
    <row r="429">
      <c r="B429" s="5"/>
      <c r="C429" s="5"/>
      <c r="D429" s="5"/>
      <c r="E429" s="5"/>
    </row>
    <row r="430">
      <c r="B430" s="5"/>
      <c r="C430" s="5"/>
      <c r="D430" s="5"/>
      <c r="E430" s="5"/>
    </row>
    <row r="431">
      <c r="B431" s="5"/>
      <c r="C431" s="5"/>
      <c r="D431" s="5"/>
      <c r="E431" s="5"/>
    </row>
    <row r="432">
      <c r="B432" s="5"/>
      <c r="C432" s="5"/>
      <c r="D432" s="5"/>
      <c r="E432" s="5"/>
    </row>
    <row r="433">
      <c r="B433" s="5"/>
      <c r="C433" s="5"/>
      <c r="D433" s="5"/>
      <c r="E433" s="5"/>
    </row>
    <row r="434">
      <c r="B434" s="5"/>
      <c r="C434" s="5"/>
      <c r="D434" s="5"/>
      <c r="E434" s="5"/>
    </row>
    <row r="435">
      <c r="B435" s="5"/>
      <c r="C435" s="5"/>
      <c r="D435" s="5"/>
      <c r="E435" s="5"/>
    </row>
    <row r="436">
      <c r="B436" s="5"/>
      <c r="C436" s="5"/>
      <c r="D436" s="5"/>
      <c r="E436" s="5"/>
    </row>
    <row r="437">
      <c r="B437" s="5"/>
      <c r="C437" s="5"/>
      <c r="D437" s="5"/>
      <c r="E437" s="5"/>
    </row>
    <row r="438">
      <c r="B438" s="5"/>
      <c r="C438" s="5"/>
      <c r="D438" s="5"/>
      <c r="E438" s="5"/>
    </row>
    <row r="439">
      <c r="B439" s="5"/>
      <c r="C439" s="5"/>
      <c r="D439" s="5"/>
      <c r="E439" s="5"/>
    </row>
    <row r="440">
      <c r="B440" s="5"/>
      <c r="C440" s="5"/>
      <c r="D440" s="5"/>
      <c r="E440" s="5"/>
    </row>
    <row r="441">
      <c r="B441" s="5"/>
      <c r="C441" s="5"/>
      <c r="D441" s="5"/>
      <c r="E441" s="5"/>
    </row>
    <row r="442">
      <c r="B442" s="5"/>
      <c r="C442" s="5"/>
      <c r="D442" s="5"/>
      <c r="E442" s="5"/>
    </row>
    <row r="443">
      <c r="B443" s="5"/>
      <c r="C443" s="5"/>
      <c r="D443" s="5"/>
      <c r="E443" s="5"/>
    </row>
    <row r="444">
      <c r="B444" s="5"/>
      <c r="C444" s="5"/>
      <c r="D444" s="5"/>
      <c r="E444" s="5"/>
    </row>
    <row r="445">
      <c r="B445" s="5"/>
      <c r="C445" s="5"/>
      <c r="D445" s="5"/>
      <c r="E445" s="5"/>
    </row>
    <row r="446">
      <c r="B446" s="5"/>
      <c r="C446" s="5"/>
      <c r="D446" s="5"/>
      <c r="E446" s="5"/>
    </row>
    <row r="447">
      <c r="B447" s="5"/>
      <c r="C447" s="5"/>
      <c r="D447" s="5"/>
      <c r="E447" s="5"/>
    </row>
    <row r="448">
      <c r="B448" s="5"/>
      <c r="C448" s="5"/>
      <c r="D448" s="5"/>
      <c r="E448" s="5"/>
    </row>
    <row r="449">
      <c r="B449" s="5"/>
      <c r="C449" s="5"/>
      <c r="D449" s="5"/>
      <c r="E449" s="5"/>
    </row>
    <row r="450">
      <c r="B450" s="5"/>
      <c r="C450" s="5"/>
      <c r="D450" s="5"/>
      <c r="E450" s="5"/>
    </row>
    <row r="451">
      <c r="B451" s="5"/>
      <c r="C451" s="5"/>
      <c r="D451" s="5"/>
      <c r="E451" s="5"/>
    </row>
    <row r="452">
      <c r="B452" s="5"/>
      <c r="C452" s="5"/>
      <c r="D452" s="5"/>
      <c r="E452" s="5"/>
    </row>
    <row r="453">
      <c r="B453" s="5"/>
      <c r="C453" s="5"/>
      <c r="D453" s="5"/>
      <c r="E453" s="5"/>
    </row>
    <row r="454">
      <c r="B454" s="5"/>
      <c r="C454" s="5"/>
      <c r="D454" s="5"/>
      <c r="E454" s="5"/>
    </row>
    <row r="455">
      <c r="B455" s="5"/>
      <c r="C455" s="5"/>
      <c r="D455" s="5"/>
      <c r="E455" s="5"/>
    </row>
    <row r="456">
      <c r="B456" s="5"/>
      <c r="C456" s="5"/>
      <c r="D456" s="5"/>
      <c r="E456" s="5"/>
    </row>
    <row r="457">
      <c r="B457" s="5"/>
      <c r="C457" s="5"/>
      <c r="D457" s="5"/>
      <c r="E457" s="5"/>
    </row>
    <row r="458">
      <c r="B458" s="5"/>
      <c r="C458" s="5"/>
      <c r="D458" s="5"/>
      <c r="E458" s="5"/>
    </row>
    <row r="459">
      <c r="B459" s="5"/>
      <c r="C459" s="5"/>
      <c r="D459" s="5"/>
      <c r="E459" s="5"/>
    </row>
    <row r="460">
      <c r="B460" s="5"/>
      <c r="C460" s="5"/>
      <c r="D460" s="5"/>
      <c r="E460" s="5"/>
    </row>
    <row r="461">
      <c r="B461" s="5"/>
      <c r="C461" s="5"/>
      <c r="D461" s="5"/>
      <c r="E461" s="5"/>
    </row>
    <row r="462">
      <c r="B462" s="5"/>
      <c r="C462" s="5"/>
      <c r="D462" s="5"/>
      <c r="E462" s="5"/>
    </row>
    <row r="463">
      <c r="B463" s="5"/>
      <c r="C463" s="5"/>
      <c r="D463" s="5"/>
      <c r="E463" s="5"/>
    </row>
    <row r="464">
      <c r="B464" s="5"/>
      <c r="C464" s="5"/>
      <c r="D464" s="5"/>
      <c r="E464" s="5"/>
    </row>
    <row r="465">
      <c r="B465" s="5"/>
      <c r="C465" s="5"/>
      <c r="D465" s="5"/>
      <c r="E465" s="5"/>
    </row>
    <row r="466">
      <c r="B466" s="5"/>
      <c r="C466" s="5"/>
      <c r="D466" s="5"/>
      <c r="E466" s="5"/>
    </row>
    <row r="467">
      <c r="B467" s="5"/>
      <c r="C467" s="5"/>
      <c r="D467" s="5"/>
      <c r="E467" s="5"/>
    </row>
    <row r="468">
      <c r="B468" s="5"/>
      <c r="C468" s="5"/>
      <c r="D468" s="5"/>
      <c r="E468" s="5"/>
    </row>
    <row r="469">
      <c r="B469" s="5"/>
      <c r="C469" s="5"/>
      <c r="D469" s="5"/>
      <c r="E469" s="5"/>
    </row>
    <row r="470">
      <c r="B470" s="5"/>
      <c r="C470" s="5"/>
      <c r="D470" s="5"/>
      <c r="E470" s="5"/>
    </row>
    <row r="471">
      <c r="B471" s="5"/>
      <c r="C471" s="5"/>
      <c r="D471" s="5"/>
      <c r="E471" s="5"/>
    </row>
    <row r="472">
      <c r="B472" s="5"/>
      <c r="C472" s="5"/>
      <c r="D472" s="5"/>
      <c r="E472" s="5"/>
    </row>
    <row r="473">
      <c r="B473" s="5"/>
      <c r="C473" s="5"/>
      <c r="D473" s="5"/>
      <c r="E473" s="5"/>
    </row>
    <row r="474">
      <c r="B474" s="5"/>
      <c r="C474" s="5"/>
      <c r="D474" s="5"/>
      <c r="E474" s="5"/>
    </row>
    <row r="475">
      <c r="B475" s="5"/>
      <c r="C475" s="5"/>
      <c r="D475" s="5"/>
      <c r="E475" s="5"/>
    </row>
    <row r="476">
      <c r="B476" s="5"/>
      <c r="C476" s="5"/>
      <c r="D476" s="5"/>
      <c r="E476" s="5"/>
    </row>
    <row r="477">
      <c r="B477" s="5"/>
      <c r="C477" s="5"/>
      <c r="D477" s="5"/>
      <c r="E477" s="5"/>
    </row>
    <row r="478">
      <c r="B478" s="5"/>
      <c r="C478" s="5"/>
      <c r="D478" s="5"/>
      <c r="E478" s="5"/>
    </row>
    <row r="479">
      <c r="B479" s="5"/>
      <c r="C479" s="5"/>
      <c r="D479" s="5"/>
      <c r="E479" s="5"/>
    </row>
    <row r="480">
      <c r="B480" s="5"/>
      <c r="C480" s="5"/>
      <c r="D480" s="5"/>
      <c r="E480" s="5"/>
    </row>
    <row r="481">
      <c r="B481" s="5"/>
      <c r="C481" s="5"/>
      <c r="D481" s="5"/>
      <c r="E481" s="5"/>
    </row>
    <row r="482">
      <c r="B482" s="5"/>
      <c r="C482" s="5"/>
      <c r="D482" s="5"/>
      <c r="E482" s="5"/>
    </row>
    <row r="483">
      <c r="B483" s="5"/>
      <c r="C483" s="5"/>
      <c r="D483" s="5"/>
      <c r="E483" s="5"/>
    </row>
    <row r="484">
      <c r="B484" s="5"/>
      <c r="C484" s="5"/>
      <c r="D484" s="5"/>
      <c r="E484" s="5"/>
    </row>
    <row r="485">
      <c r="B485" s="5"/>
      <c r="C485" s="5"/>
      <c r="D485" s="5"/>
      <c r="E485" s="5"/>
    </row>
    <row r="486">
      <c r="B486" s="5"/>
      <c r="C486" s="5"/>
      <c r="D486" s="5"/>
      <c r="E486" s="5"/>
    </row>
    <row r="487">
      <c r="B487" s="5"/>
      <c r="C487" s="5"/>
      <c r="D487" s="5"/>
      <c r="E487" s="5"/>
    </row>
    <row r="488">
      <c r="B488" s="5"/>
      <c r="C488" s="5"/>
      <c r="D488" s="5"/>
      <c r="E488" s="5"/>
    </row>
    <row r="489">
      <c r="B489" s="5"/>
      <c r="C489" s="5"/>
      <c r="D489" s="5"/>
      <c r="E489" s="5"/>
    </row>
    <row r="490">
      <c r="B490" s="5"/>
      <c r="C490" s="5"/>
      <c r="D490" s="5"/>
      <c r="E490" s="5"/>
    </row>
    <row r="491">
      <c r="B491" s="5"/>
      <c r="C491" s="5"/>
      <c r="D491" s="5"/>
      <c r="E491" s="5"/>
    </row>
    <row r="492">
      <c r="B492" s="5"/>
      <c r="C492" s="5"/>
      <c r="D492" s="5"/>
      <c r="E492" s="5"/>
    </row>
    <row r="493">
      <c r="B493" s="5"/>
      <c r="C493" s="5"/>
      <c r="D493" s="5"/>
      <c r="E493" s="5"/>
    </row>
    <row r="494">
      <c r="B494" s="5"/>
      <c r="C494" s="5"/>
      <c r="D494" s="5"/>
      <c r="E494" s="5"/>
    </row>
    <row r="495">
      <c r="B495" s="5"/>
      <c r="C495" s="5"/>
      <c r="D495" s="5"/>
      <c r="E495" s="5"/>
    </row>
    <row r="496">
      <c r="B496" s="5"/>
      <c r="C496" s="5"/>
      <c r="D496" s="5"/>
      <c r="E496" s="5"/>
    </row>
    <row r="497">
      <c r="B497" s="5"/>
      <c r="C497" s="5"/>
      <c r="D497" s="5"/>
      <c r="E497" s="5"/>
    </row>
    <row r="498">
      <c r="B498" s="5"/>
      <c r="C498" s="5"/>
      <c r="D498" s="5"/>
      <c r="E498" s="5"/>
    </row>
    <row r="499">
      <c r="B499" s="5"/>
      <c r="C499" s="5"/>
      <c r="D499" s="5"/>
      <c r="E499" s="5"/>
    </row>
    <row r="500">
      <c r="B500" s="5"/>
      <c r="C500" s="5"/>
      <c r="D500" s="5"/>
      <c r="E500" s="5"/>
    </row>
    <row r="501">
      <c r="B501" s="5"/>
      <c r="C501" s="5"/>
      <c r="D501" s="5"/>
      <c r="E501" s="5"/>
    </row>
    <row r="502">
      <c r="B502" s="5"/>
      <c r="C502" s="5"/>
      <c r="D502" s="5"/>
      <c r="E502" s="5"/>
    </row>
    <row r="503">
      <c r="B503" s="5"/>
      <c r="C503" s="5"/>
      <c r="D503" s="5"/>
      <c r="E503" s="5"/>
    </row>
    <row r="504">
      <c r="B504" s="5"/>
      <c r="C504" s="5"/>
      <c r="D504" s="5"/>
      <c r="E504" s="5"/>
    </row>
    <row r="505">
      <c r="B505" s="5"/>
      <c r="C505" s="5"/>
      <c r="D505" s="5"/>
      <c r="E505" s="5"/>
    </row>
    <row r="506">
      <c r="B506" s="5"/>
      <c r="C506" s="5"/>
      <c r="D506" s="5"/>
      <c r="E506" s="5"/>
    </row>
    <row r="507">
      <c r="B507" s="5"/>
      <c r="C507" s="5"/>
      <c r="D507" s="5"/>
      <c r="E507" s="5"/>
    </row>
    <row r="508">
      <c r="B508" s="5"/>
      <c r="C508" s="5"/>
      <c r="D508" s="5"/>
      <c r="E508" s="5"/>
    </row>
    <row r="509">
      <c r="B509" s="5"/>
      <c r="C509" s="5"/>
      <c r="D509" s="5"/>
      <c r="E509" s="5"/>
    </row>
    <row r="510">
      <c r="B510" s="5"/>
      <c r="C510" s="5"/>
      <c r="D510" s="5"/>
      <c r="E510" s="5"/>
    </row>
    <row r="511">
      <c r="B511" s="5"/>
      <c r="C511" s="5"/>
      <c r="D511" s="5"/>
      <c r="E511" s="5"/>
    </row>
    <row r="512">
      <c r="B512" s="5"/>
      <c r="C512" s="5"/>
      <c r="D512" s="5"/>
      <c r="E512" s="5"/>
    </row>
    <row r="513">
      <c r="B513" s="5"/>
      <c r="C513" s="5"/>
      <c r="D513" s="5"/>
      <c r="E513" s="5"/>
    </row>
    <row r="514">
      <c r="B514" s="5"/>
      <c r="C514" s="5"/>
      <c r="D514" s="5"/>
      <c r="E514" s="5"/>
    </row>
    <row r="515">
      <c r="B515" s="5"/>
      <c r="C515" s="5"/>
      <c r="D515" s="5"/>
      <c r="E515" s="5"/>
    </row>
    <row r="516">
      <c r="B516" s="5"/>
      <c r="C516" s="5"/>
      <c r="D516" s="5"/>
      <c r="E516" s="5"/>
    </row>
    <row r="517">
      <c r="B517" s="5"/>
      <c r="C517" s="5"/>
      <c r="D517" s="5"/>
      <c r="E517" s="5"/>
    </row>
    <row r="518">
      <c r="B518" s="5"/>
      <c r="C518" s="5"/>
      <c r="D518" s="5"/>
      <c r="E518" s="5"/>
    </row>
    <row r="519">
      <c r="B519" s="5"/>
      <c r="C519" s="5"/>
      <c r="D519" s="5"/>
      <c r="E519" s="5"/>
    </row>
    <row r="520">
      <c r="B520" s="5"/>
      <c r="C520" s="5"/>
      <c r="D520" s="5"/>
      <c r="E520" s="5"/>
    </row>
    <row r="521">
      <c r="B521" s="5"/>
      <c r="C521" s="5"/>
      <c r="D521" s="5"/>
      <c r="E521" s="5"/>
    </row>
    <row r="522">
      <c r="B522" s="5"/>
      <c r="C522" s="5"/>
      <c r="D522" s="5"/>
      <c r="E522" s="5"/>
    </row>
    <row r="523">
      <c r="B523" s="5"/>
      <c r="C523" s="5"/>
      <c r="D523" s="5"/>
      <c r="E523" s="5"/>
    </row>
    <row r="524">
      <c r="B524" s="5"/>
      <c r="C524" s="5"/>
      <c r="D524" s="5"/>
      <c r="E524" s="5"/>
    </row>
    <row r="525">
      <c r="B525" s="5"/>
      <c r="C525" s="5"/>
      <c r="D525" s="5"/>
      <c r="E525" s="5"/>
    </row>
    <row r="526">
      <c r="B526" s="5"/>
      <c r="C526" s="5"/>
      <c r="D526" s="5"/>
      <c r="E526" s="5"/>
    </row>
    <row r="527">
      <c r="B527" s="5"/>
      <c r="C527" s="5"/>
      <c r="D527" s="5"/>
      <c r="E527" s="5"/>
    </row>
    <row r="528">
      <c r="B528" s="5"/>
      <c r="C528" s="5"/>
      <c r="D528" s="5"/>
      <c r="E528" s="5"/>
    </row>
    <row r="529">
      <c r="B529" s="5"/>
      <c r="C529" s="5"/>
      <c r="D529" s="5"/>
      <c r="E529" s="5"/>
    </row>
    <row r="530">
      <c r="B530" s="5"/>
      <c r="C530" s="5"/>
      <c r="D530" s="5"/>
      <c r="E530" s="5"/>
    </row>
    <row r="531">
      <c r="B531" s="5"/>
      <c r="C531" s="5"/>
      <c r="D531" s="5"/>
      <c r="E531" s="5"/>
    </row>
    <row r="532">
      <c r="B532" s="5"/>
      <c r="C532" s="5"/>
      <c r="D532" s="5"/>
      <c r="E532" s="5"/>
    </row>
    <row r="533">
      <c r="B533" s="5"/>
      <c r="C533" s="5"/>
      <c r="D533" s="5"/>
      <c r="E533" s="5"/>
    </row>
    <row r="534">
      <c r="B534" s="5"/>
      <c r="C534" s="5"/>
      <c r="D534" s="5"/>
      <c r="E534" s="5"/>
    </row>
    <row r="535">
      <c r="B535" s="5"/>
      <c r="C535" s="5"/>
      <c r="D535" s="5"/>
      <c r="E535" s="5"/>
    </row>
    <row r="536">
      <c r="B536" s="5"/>
      <c r="C536" s="5"/>
      <c r="D536" s="5"/>
      <c r="E536" s="5"/>
    </row>
    <row r="537">
      <c r="B537" s="5"/>
      <c r="C537" s="5"/>
      <c r="D537" s="5"/>
      <c r="E537" s="5"/>
    </row>
    <row r="538">
      <c r="B538" s="5"/>
      <c r="C538" s="5"/>
      <c r="D538" s="5"/>
      <c r="E538" s="5"/>
    </row>
    <row r="539">
      <c r="B539" s="5"/>
      <c r="C539" s="5"/>
      <c r="D539" s="5"/>
      <c r="E539" s="5"/>
    </row>
    <row r="540">
      <c r="B540" s="5"/>
      <c r="C540" s="5"/>
      <c r="D540" s="5"/>
      <c r="E540" s="5"/>
    </row>
    <row r="541">
      <c r="B541" s="5"/>
      <c r="C541" s="5"/>
      <c r="D541" s="5"/>
      <c r="E541" s="5"/>
    </row>
    <row r="542">
      <c r="B542" s="5"/>
      <c r="C542" s="5"/>
      <c r="D542" s="5"/>
      <c r="E542" s="5"/>
    </row>
    <row r="543">
      <c r="B543" s="5"/>
      <c r="C543" s="5"/>
      <c r="D543" s="5"/>
      <c r="E543" s="5"/>
    </row>
    <row r="544">
      <c r="B544" s="5"/>
      <c r="C544" s="5"/>
      <c r="D544" s="5"/>
      <c r="E544" s="5"/>
    </row>
    <row r="545">
      <c r="B545" s="5"/>
      <c r="C545" s="5"/>
      <c r="D545" s="5"/>
      <c r="E545" s="5"/>
    </row>
    <row r="546">
      <c r="B546" s="5"/>
      <c r="C546" s="5"/>
      <c r="D546" s="5"/>
      <c r="E546" s="5"/>
    </row>
    <row r="547">
      <c r="B547" s="5"/>
      <c r="C547" s="5"/>
      <c r="D547" s="5"/>
      <c r="E547" s="5"/>
    </row>
    <row r="548">
      <c r="B548" s="5"/>
      <c r="C548" s="5"/>
      <c r="D548" s="5"/>
      <c r="E548" s="5"/>
    </row>
    <row r="549">
      <c r="B549" s="5"/>
      <c r="C549" s="5"/>
      <c r="D549" s="5"/>
      <c r="E549" s="5"/>
    </row>
    <row r="550">
      <c r="B550" s="5"/>
      <c r="C550" s="5"/>
      <c r="D550" s="5"/>
      <c r="E550" s="5"/>
    </row>
    <row r="551">
      <c r="B551" s="5"/>
      <c r="C551" s="5"/>
      <c r="D551" s="5"/>
      <c r="E551" s="5"/>
    </row>
    <row r="552">
      <c r="B552" s="5"/>
      <c r="C552" s="5"/>
      <c r="D552" s="5"/>
      <c r="E552" s="5"/>
    </row>
    <row r="553">
      <c r="B553" s="5"/>
      <c r="C553" s="5"/>
      <c r="D553" s="5"/>
      <c r="E553" s="5"/>
    </row>
    <row r="554">
      <c r="B554" s="5"/>
      <c r="C554" s="5"/>
      <c r="D554" s="5"/>
      <c r="E554" s="5"/>
    </row>
    <row r="555">
      <c r="B555" s="5"/>
      <c r="C555" s="5"/>
      <c r="D555" s="5"/>
      <c r="E555" s="5"/>
    </row>
    <row r="556">
      <c r="B556" s="5"/>
      <c r="C556" s="5"/>
      <c r="D556" s="5"/>
      <c r="E556" s="5"/>
    </row>
    <row r="557">
      <c r="B557" s="5"/>
      <c r="C557" s="5"/>
      <c r="D557" s="5"/>
      <c r="E557" s="5"/>
    </row>
    <row r="558">
      <c r="B558" s="5"/>
      <c r="C558" s="5"/>
      <c r="D558" s="5"/>
      <c r="E558" s="5"/>
    </row>
    <row r="559">
      <c r="B559" s="5"/>
      <c r="C559" s="5"/>
      <c r="D559" s="5"/>
      <c r="E559" s="5"/>
    </row>
    <row r="560">
      <c r="B560" s="5"/>
      <c r="C560" s="5"/>
      <c r="D560" s="5"/>
      <c r="E560" s="5"/>
    </row>
    <row r="561">
      <c r="B561" s="5"/>
      <c r="C561" s="5"/>
      <c r="D561" s="5"/>
      <c r="E561" s="5"/>
    </row>
    <row r="562">
      <c r="B562" s="5"/>
      <c r="C562" s="5"/>
      <c r="D562" s="5"/>
      <c r="E562" s="5"/>
    </row>
    <row r="563">
      <c r="B563" s="5"/>
      <c r="C563" s="5"/>
      <c r="D563" s="5"/>
      <c r="E563" s="5"/>
    </row>
    <row r="564">
      <c r="B564" s="5"/>
      <c r="C564" s="5"/>
      <c r="D564" s="5"/>
      <c r="E564" s="5"/>
    </row>
    <row r="565">
      <c r="B565" s="5"/>
      <c r="C565" s="5"/>
      <c r="D565" s="5"/>
      <c r="E565" s="5"/>
    </row>
    <row r="566">
      <c r="B566" s="5"/>
      <c r="C566" s="5"/>
      <c r="D566" s="5"/>
      <c r="E566" s="5"/>
    </row>
    <row r="567">
      <c r="B567" s="5"/>
      <c r="C567" s="5"/>
      <c r="D567" s="5"/>
      <c r="E567" s="5"/>
    </row>
    <row r="568">
      <c r="B568" s="5"/>
      <c r="C568" s="5"/>
      <c r="D568" s="5"/>
      <c r="E568" s="5"/>
    </row>
    <row r="569">
      <c r="B569" s="5"/>
      <c r="C569" s="5"/>
      <c r="D569" s="5"/>
      <c r="E569" s="5"/>
    </row>
    <row r="570">
      <c r="B570" s="5"/>
      <c r="C570" s="5"/>
      <c r="D570" s="5"/>
      <c r="E570" s="5"/>
    </row>
    <row r="571">
      <c r="B571" s="5"/>
      <c r="C571" s="5"/>
      <c r="D571" s="5"/>
      <c r="E571" s="5"/>
    </row>
    <row r="572">
      <c r="B572" s="5"/>
      <c r="C572" s="5"/>
      <c r="D572" s="5"/>
      <c r="E572" s="5"/>
    </row>
    <row r="573">
      <c r="B573" s="5"/>
      <c r="C573" s="5"/>
      <c r="D573" s="5"/>
      <c r="E573" s="5"/>
    </row>
    <row r="574">
      <c r="B574" s="5"/>
      <c r="C574" s="5"/>
      <c r="D574" s="5"/>
      <c r="E574" s="5"/>
    </row>
    <row r="575">
      <c r="B575" s="5"/>
      <c r="C575" s="5"/>
      <c r="D575" s="5"/>
      <c r="E575" s="5"/>
    </row>
    <row r="576">
      <c r="B576" s="5"/>
      <c r="C576" s="5"/>
      <c r="D576" s="5"/>
      <c r="E576" s="5"/>
    </row>
    <row r="577">
      <c r="B577" s="5"/>
      <c r="C577" s="5"/>
      <c r="D577" s="5"/>
      <c r="E577" s="5"/>
    </row>
    <row r="578">
      <c r="B578" s="5"/>
      <c r="C578" s="5"/>
      <c r="D578" s="5"/>
      <c r="E578" s="5"/>
    </row>
    <row r="579">
      <c r="B579" s="5"/>
      <c r="C579" s="5"/>
      <c r="D579" s="5"/>
      <c r="E579" s="5"/>
    </row>
    <row r="580">
      <c r="B580" s="5"/>
      <c r="C580" s="5"/>
      <c r="D580" s="5"/>
      <c r="E580" s="5"/>
    </row>
    <row r="581">
      <c r="B581" s="5"/>
      <c r="C581" s="5"/>
      <c r="D581" s="5"/>
      <c r="E581" s="5"/>
    </row>
    <row r="582">
      <c r="B582" s="5"/>
      <c r="C582" s="5"/>
      <c r="D582" s="5"/>
      <c r="E582" s="5"/>
    </row>
    <row r="583">
      <c r="B583" s="5"/>
      <c r="C583" s="5"/>
      <c r="D583" s="5"/>
      <c r="E583" s="5"/>
    </row>
    <row r="584">
      <c r="B584" s="5"/>
      <c r="C584" s="5"/>
      <c r="D584" s="5"/>
      <c r="E584" s="5"/>
    </row>
    <row r="585">
      <c r="B585" s="5"/>
      <c r="C585" s="5"/>
      <c r="D585" s="5"/>
      <c r="E585" s="5"/>
    </row>
    <row r="586">
      <c r="B586" s="5"/>
      <c r="C586" s="5"/>
      <c r="D586" s="5"/>
      <c r="E586" s="5"/>
    </row>
    <row r="587">
      <c r="B587" s="5"/>
      <c r="C587" s="5"/>
      <c r="D587" s="5"/>
      <c r="E587" s="5"/>
    </row>
    <row r="588">
      <c r="B588" s="5"/>
      <c r="C588" s="5"/>
      <c r="D588" s="5"/>
      <c r="E588" s="5"/>
    </row>
    <row r="589">
      <c r="B589" s="5"/>
      <c r="C589" s="5"/>
      <c r="D589" s="5"/>
      <c r="E589" s="5"/>
    </row>
    <row r="590">
      <c r="B590" s="5"/>
      <c r="C590" s="5"/>
      <c r="D590" s="5"/>
      <c r="E590" s="5"/>
    </row>
    <row r="591">
      <c r="B591" s="5"/>
      <c r="C591" s="5"/>
      <c r="D591" s="5"/>
      <c r="E591" s="5"/>
    </row>
    <row r="592">
      <c r="B592" s="5"/>
      <c r="C592" s="5"/>
      <c r="D592" s="5"/>
      <c r="E592" s="5"/>
    </row>
    <row r="593">
      <c r="B593" s="5"/>
      <c r="C593" s="5"/>
      <c r="D593" s="5"/>
      <c r="E593" s="5"/>
    </row>
    <row r="594">
      <c r="B594" s="5"/>
      <c r="C594" s="5"/>
      <c r="D594" s="5"/>
      <c r="E594" s="5"/>
    </row>
    <row r="595">
      <c r="B595" s="5"/>
      <c r="C595" s="5"/>
      <c r="D595" s="5"/>
      <c r="E595" s="5"/>
    </row>
    <row r="596">
      <c r="B596" s="5"/>
      <c r="C596" s="5"/>
      <c r="D596" s="5"/>
      <c r="E596" s="5"/>
    </row>
    <row r="597">
      <c r="B597" s="5"/>
      <c r="C597" s="5"/>
      <c r="D597" s="5"/>
      <c r="E597" s="5"/>
    </row>
    <row r="598">
      <c r="B598" s="5"/>
      <c r="C598" s="5"/>
      <c r="D598" s="5"/>
      <c r="E598" s="5"/>
    </row>
    <row r="599">
      <c r="B599" s="5"/>
      <c r="C599" s="5"/>
      <c r="D599" s="5"/>
      <c r="E599" s="5"/>
    </row>
    <row r="600">
      <c r="B600" s="5"/>
      <c r="C600" s="5"/>
      <c r="D600" s="5"/>
      <c r="E600" s="5"/>
    </row>
    <row r="601">
      <c r="B601" s="5"/>
      <c r="C601" s="5"/>
      <c r="D601" s="5"/>
      <c r="E601" s="5"/>
    </row>
    <row r="602">
      <c r="B602" s="5"/>
      <c r="C602" s="5"/>
      <c r="D602" s="5"/>
      <c r="E602" s="5"/>
    </row>
    <row r="603">
      <c r="B603" s="5"/>
      <c r="C603" s="5"/>
      <c r="D603" s="5"/>
      <c r="E603" s="5"/>
    </row>
    <row r="604">
      <c r="B604" s="5"/>
      <c r="C604" s="5"/>
      <c r="D604" s="5"/>
      <c r="E604" s="5"/>
    </row>
    <row r="605">
      <c r="B605" s="5"/>
      <c r="C605" s="5"/>
      <c r="D605" s="5"/>
      <c r="E605" s="5"/>
    </row>
    <row r="606">
      <c r="B606" s="5"/>
      <c r="C606" s="5"/>
      <c r="D606" s="5"/>
      <c r="E606" s="5"/>
    </row>
    <row r="607">
      <c r="B607" s="5"/>
      <c r="C607" s="5"/>
      <c r="D607" s="5"/>
      <c r="E607" s="5"/>
    </row>
    <row r="608">
      <c r="B608" s="5"/>
      <c r="C608" s="5"/>
      <c r="D608" s="5"/>
      <c r="E608" s="5"/>
    </row>
    <row r="609">
      <c r="B609" s="5"/>
      <c r="C609" s="5"/>
      <c r="D609" s="5"/>
      <c r="E609" s="5"/>
    </row>
    <row r="610">
      <c r="B610" s="5"/>
      <c r="C610" s="5"/>
      <c r="D610" s="5"/>
      <c r="E610" s="5"/>
    </row>
    <row r="611">
      <c r="B611" s="5"/>
      <c r="C611" s="5"/>
      <c r="D611" s="5"/>
      <c r="E611" s="5"/>
    </row>
    <row r="612">
      <c r="B612" s="5"/>
      <c r="C612" s="5"/>
      <c r="D612" s="5"/>
      <c r="E612" s="5"/>
    </row>
    <row r="613">
      <c r="B613" s="5"/>
      <c r="C613" s="5"/>
      <c r="D613" s="5"/>
      <c r="E613" s="5"/>
    </row>
    <row r="614">
      <c r="B614" s="5"/>
      <c r="C614" s="5"/>
      <c r="D614" s="5"/>
      <c r="E614" s="5"/>
    </row>
    <row r="615">
      <c r="B615" s="5"/>
      <c r="C615" s="5"/>
      <c r="D615" s="5"/>
      <c r="E615" s="5"/>
    </row>
    <row r="616">
      <c r="B616" s="5"/>
      <c r="C616" s="5"/>
      <c r="D616" s="5"/>
      <c r="E616" s="5"/>
    </row>
    <row r="617">
      <c r="B617" s="5"/>
      <c r="C617" s="5"/>
      <c r="D617" s="5"/>
      <c r="E617" s="5"/>
    </row>
    <row r="618">
      <c r="B618" s="5"/>
      <c r="C618" s="5"/>
      <c r="D618" s="5"/>
      <c r="E618" s="5"/>
    </row>
    <row r="619">
      <c r="B619" s="5"/>
      <c r="C619" s="5"/>
      <c r="D619" s="5"/>
      <c r="E619" s="5"/>
    </row>
    <row r="620">
      <c r="B620" s="5"/>
      <c r="C620" s="5"/>
      <c r="D620" s="5"/>
      <c r="E620" s="5"/>
    </row>
    <row r="621">
      <c r="B621" s="5"/>
      <c r="C621" s="5"/>
      <c r="D621" s="5"/>
      <c r="E621" s="5"/>
    </row>
    <row r="622">
      <c r="B622" s="5"/>
      <c r="C622" s="5"/>
      <c r="D622" s="5"/>
      <c r="E622" s="5"/>
    </row>
    <row r="623">
      <c r="B623" s="5"/>
      <c r="C623" s="5"/>
      <c r="D623" s="5"/>
      <c r="E623" s="5"/>
    </row>
    <row r="624">
      <c r="B624" s="5"/>
      <c r="C624" s="5"/>
      <c r="D624" s="5"/>
      <c r="E624" s="5"/>
    </row>
    <row r="625">
      <c r="B625" s="5"/>
      <c r="C625" s="5"/>
      <c r="D625" s="5"/>
      <c r="E625" s="5"/>
    </row>
    <row r="626">
      <c r="B626" s="5"/>
      <c r="C626" s="5"/>
      <c r="D626" s="5"/>
      <c r="E626" s="5"/>
    </row>
    <row r="627">
      <c r="B627" s="5"/>
      <c r="C627" s="5"/>
      <c r="D627" s="5"/>
      <c r="E627" s="5"/>
    </row>
    <row r="628">
      <c r="B628" s="5"/>
      <c r="C628" s="5"/>
      <c r="D628" s="5"/>
      <c r="E628" s="5"/>
    </row>
    <row r="629">
      <c r="B629" s="5"/>
      <c r="C629" s="5"/>
      <c r="D629" s="5"/>
      <c r="E629" s="5"/>
    </row>
    <row r="630">
      <c r="B630" s="5"/>
      <c r="C630" s="5"/>
      <c r="D630" s="5"/>
      <c r="E630" s="5"/>
    </row>
    <row r="631">
      <c r="B631" s="5"/>
      <c r="C631" s="5"/>
      <c r="D631" s="5"/>
      <c r="E631" s="5"/>
    </row>
    <row r="632">
      <c r="B632" s="5"/>
      <c r="C632" s="5"/>
      <c r="D632" s="5"/>
      <c r="E632" s="5"/>
    </row>
    <row r="633">
      <c r="B633" s="5"/>
      <c r="C633" s="5"/>
      <c r="D633" s="5"/>
      <c r="E633" s="5"/>
    </row>
    <row r="634">
      <c r="B634" s="5"/>
      <c r="C634" s="5"/>
      <c r="D634" s="5"/>
      <c r="E634" s="5"/>
    </row>
    <row r="635">
      <c r="B635" s="5"/>
      <c r="C635" s="5"/>
      <c r="D635" s="5"/>
      <c r="E635" s="5"/>
    </row>
    <row r="636">
      <c r="B636" s="5"/>
      <c r="C636" s="5"/>
      <c r="D636" s="5"/>
      <c r="E636" s="5"/>
    </row>
    <row r="637">
      <c r="B637" s="5"/>
      <c r="C637" s="5"/>
      <c r="D637" s="5"/>
      <c r="E637" s="5"/>
    </row>
    <row r="638">
      <c r="B638" s="5"/>
      <c r="C638" s="5"/>
      <c r="D638" s="5"/>
      <c r="E638" s="5"/>
    </row>
    <row r="639">
      <c r="B639" s="5"/>
      <c r="C639" s="5"/>
      <c r="D639" s="5"/>
      <c r="E639" s="5"/>
    </row>
    <row r="640">
      <c r="B640" s="5"/>
      <c r="C640" s="5"/>
      <c r="D640" s="5"/>
      <c r="E640" s="5"/>
    </row>
    <row r="641">
      <c r="B641" s="5"/>
      <c r="C641" s="5"/>
      <c r="D641" s="5"/>
      <c r="E641" s="5"/>
    </row>
    <row r="642">
      <c r="B642" s="5"/>
      <c r="C642" s="5"/>
      <c r="D642" s="5"/>
      <c r="E642" s="5"/>
    </row>
    <row r="643">
      <c r="B643" s="5"/>
      <c r="C643" s="5"/>
      <c r="D643" s="5"/>
      <c r="E643" s="5"/>
    </row>
    <row r="644">
      <c r="B644" s="5"/>
      <c r="C644" s="5"/>
      <c r="D644" s="5"/>
      <c r="E644" s="5"/>
    </row>
    <row r="645">
      <c r="B645" s="5"/>
      <c r="C645" s="5"/>
      <c r="D645" s="5"/>
      <c r="E645" s="5"/>
    </row>
    <row r="646">
      <c r="B646" s="5"/>
      <c r="C646" s="5"/>
      <c r="D646" s="5"/>
      <c r="E646" s="5"/>
    </row>
    <row r="647">
      <c r="B647" s="5"/>
      <c r="C647" s="5"/>
      <c r="D647" s="5"/>
      <c r="E647" s="5"/>
    </row>
    <row r="648">
      <c r="B648" s="5"/>
      <c r="C648" s="5"/>
      <c r="D648" s="5"/>
      <c r="E648" s="5"/>
    </row>
    <row r="649">
      <c r="B649" s="5"/>
      <c r="C649" s="5"/>
      <c r="D649" s="5"/>
      <c r="E649" s="5"/>
    </row>
    <row r="650">
      <c r="B650" s="5"/>
      <c r="C650" s="5"/>
      <c r="D650" s="5"/>
      <c r="E650" s="5"/>
    </row>
    <row r="651">
      <c r="B651" s="5"/>
      <c r="C651" s="5"/>
      <c r="D651" s="5"/>
      <c r="E651" s="5"/>
    </row>
    <row r="652">
      <c r="B652" s="5"/>
      <c r="C652" s="5"/>
      <c r="D652" s="5"/>
      <c r="E652" s="5"/>
    </row>
    <row r="653">
      <c r="B653" s="5"/>
      <c r="C653" s="5"/>
      <c r="D653" s="5"/>
      <c r="E653" s="5"/>
    </row>
    <row r="654">
      <c r="B654" s="5"/>
      <c r="C654" s="5"/>
      <c r="D654" s="5"/>
      <c r="E654" s="5"/>
    </row>
    <row r="655">
      <c r="B655" s="5"/>
      <c r="C655" s="5"/>
      <c r="D655" s="5"/>
      <c r="E655" s="5"/>
    </row>
    <row r="656">
      <c r="B656" s="5"/>
      <c r="C656" s="5"/>
      <c r="D656" s="5"/>
      <c r="E656" s="5"/>
    </row>
    <row r="657">
      <c r="B657" s="5"/>
      <c r="C657" s="5"/>
      <c r="D657" s="5"/>
      <c r="E657" s="5"/>
    </row>
    <row r="658">
      <c r="B658" s="5"/>
      <c r="C658" s="5"/>
      <c r="D658" s="5"/>
      <c r="E658" s="5"/>
    </row>
    <row r="659">
      <c r="B659" s="5"/>
      <c r="C659" s="5"/>
      <c r="D659" s="5"/>
      <c r="E659" s="5"/>
    </row>
    <row r="660">
      <c r="B660" s="5"/>
      <c r="C660" s="5"/>
      <c r="D660" s="5"/>
      <c r="E660" s="5"/>
    </row>
    <row r="661">
      <c r="B661" s="5"/>
      <c r="C661" s="5"/>
      <c r="D661" s="5"/>
      <c r="E661" s="5"/>
    </row>
    <row r="662">
      <c r="B662" s="5"/>
      <c r="C662" s="5"/>
      <c r="D662" s="5"/>
      <c r="E662" s="5"/>
    </row>
    <row r="663">
      <c r="B663" s="5"/>
      <c r="C663" s="5"/>
      <c r="D663" s="5"/>
      <c r="E663" s="5"/>
    </row>
    <row r="664">
      <c r="B664" s="5"/>
      <c r="C664" s="5"/>
      <c r="D664" s="5"/>
      <c r="E664" s="5"/>
    </row>
    <row r="665">
      <c r="B665" s="5"/>
      <c r="C665" s="5"/>
      <c r="D665" s="5"/>
      <c r="E665" s="5"/>
    </row>
    <row r="666">
      <c r="B666" s="5"/>
      <c r="C666" s="5"/>
      <c r="D666" s="5"/>
      <c r="E666" s="5"/>
    </row>
    <row r="667">
      <c r="B667" s="5"/>
      <c r="C667" s="5"/>
      <c r="D667" s="5"/>
      <c r="E667" s="5"/>
    </row>
    <row r="668">
      <c r="B668" s="5"/>
      <c r="C668" s="5"/>
      <c r="D668" s="5"/>
      <c r="E668" s="5"/>
    </row>
    <row r="669">
      <c r="B669" s="5"/>
      <c r="C669" s="5"/>
      <c r="D669" s="5"/>
      <c r="E669" s="5"/>
    </row>
    <row r="670">
      <c r="B670" s="5"/>
      <c r="C670" s="5"/>
      <c r="D670" s="5"/>
      <c r="E670" s="5"/>
    </row>
    <row r="671">
      <c r="B671" s="5"/>
      <c r="C671" s="5"/>
      <c r="D671" s="5"/>
      <c r="E671" s="5"/>
    </row>
    <row r="672">
      <c r="B672" s="5"/>
      <c r="C672" s="5"/>
      <c r="D672" s="5"/>
      <c r="E672" s="5"/>
    </row>
    <row r="673">
      <c r="B673" s="5"/>
      <c r="C673" s="5"/>
      <c r="D673" s="5"/>
      <c r="E673" s="5"/>
    </row>
    <row r="674">
      <c r="B674" s="5"/>
      <c r="C674" s="5"/>
      <c r="D674" s="5"/>
      <c r="E674" s="5"/>
    </row>
    <row r="675">
      <c r="B675" s="5"/>
      <c r="C675" s="5"/>
      <c r="D675" s="5"/>
      <c r="E675" s="5"/>
    </row>
    <row r="676">
      <c r="B676" s="5"/>
      <c r="C676" s="5"/>
      <c r="D676" s="5"/>
      <c r="E676" s="5"/>
    </row>
    <row r="677">
      <c r="B677" s="5"/>
      <c r="C677" s="5"/>
      <c r="D677" s="5"/>
      <c r="E677" s="5"/>
    </row>
    <row r="678">
      <c r="B678" s="5"/>
      <c r="C678" s="5"/>
      <c r="D678" s="5"/>
      <c r="E678" s="5"/>
    </row>
    <row r="679">
      <c r="B679" s="5"/>
      <c r="C679" s="5"/>
      <c r="D679" s="5"/>
      <c r="E679" s="5"/>
    </row>
    <row r="680">
      <c r="B680" s="5"/>
      <c r="C680" s="5"/>
      <c r="D680" s="5"/>
      <c r="E680" s="5"/>
    </row>
    <row r="681">
      <c r="B681" s="5"/>
      <c r="C681" s="5"/>
      <c r="D681" s="5"/>
      <c r="E681" s="5"/>
    </row>
    <row r="682">
      <c r="B682" s="5"/>
      <c r="C682" s="5"/>
      <c r="D682" s="5"/>
      <c r="E682" s="5"/>
    </row>
    <row r="683">
      <c r="B683" s="5"/>
      <c r="C683" s="5"/>
      <c r="D683" s="5"/>
      <c r="E683" s="5"/>
    </row>
    <row r="684">
      <c r="B684" s="5"/>
      <c r="C684" s="5"/>
      <c r="D684" s="5"/>
      <c r="E684" s="5"/>
    </row>
    <row r="685">
      <c r="B685" s="5"/>
      <c r="C685" s="5"/>
      <c r="D685" s="5"/>
      <c r="E685" s="5"/>
    </row>
    <row r="686">
      <c r="B686" s="5"/>
      <c r="C686" s="5"/>
      <c r="D686" s="5"/>
      <c r="E686" s="5"/>
    </row>
    <row r="687">
      <c r="B687" s="5"/>
      <c r="C687" s="5"/>
      <c r="D687" s="5"/>
      <c r="E687" s="5"/>
    </row>
    <row r="688">
      <c r="B688" s="5"/>
      <c r="C688" s="5"/>
      <c r="D688" s="5"/>
      <c r="E688" s="5"/>
    </row>
    <row r="689">
      <c r="B689" s="5"/>
      <c r="C689" s="5"/>
      <c r="D689" s="5"/>
      <c r="E689" s="5"/>
    </row>
    <row r="690">
      <c r="B690" s="5"/>
      <c r="C690" s="5"/>
      <c r="D690" s="5"/>
      <c r="E690" s="5"/>
    </row>
    <row r="691">
      <c r="B691" s="5"/>
      <c r="C691" s="5"/>
      <c r="D691" s="5"/>
      <c r="E691" s="5"/>
    </row>
    <row r="692">
      <c r="B692" s="5"/>
      <c r="C692" s="5"/>
      <c r="D692" s="5"/>
      <c r="E692" s="5"/>
    </row>
    <row r="693">
      <c r="B693" s="5"/>
      <c r="C693" s="5"/>
      <c r="D693" s="5"/>
      <c r="E693" s="5"/>
    </row>
    <row r="694">
      <c r="B694" s="5"/>
      <c r="C694" s="5"/>
      <c r="D694" s="5"/>
      <c r="E694" s="5"/>
    </row>
    <row r="695">
      <c r="B695" s="5"/>
      <c r="C695" s="5"/>
      <c r="D695" s="5"/>
      <c r="E695" s="5"/>
    </row>
    <row r="696">
      <c r="B696" s="5"/>
      <c r="C696" s="5"/>
      <c r="D696" s="5"/>
      <c r="E696" s="5"/>
    </row>
    <row r="697">
      <c r="B697" s="5"/>
      <c r="C697" s="5"/>
      <c r="D697" s="5"/>
      <c r="E697" s="5"/>
    </row>
    <row r="698">
      <c r="B698" s="5"/>
      <c r="C698" s="5"/>
      <c r="D698" s="5"/>
      <c r="E698" s="5"/>
    </row>
    <row r="699">
      <c r="B699" s="5"/>
      <c r="C699" s="5"/>
      <c r="D699" s="5"/>
      <c r="E699" s="5"/>
    </row>
    <row r="700">
      <c r="B700" s="5"/>
      <c r="C700" s="5"/>
      <c r="D700" s="5"/>
      <c r="E700" s="5"/>
    </row>
    <row r="701">
      <c r="B701" s="5"/>
      <c r="C701" s="5"/>
      <c r="D701" s="5"/>
      <c r="E701" s="5"/>
    </row>
    <row r="702">
      <c r="B702" s="5"/>
      <c r="C702" s="5"/>
      <c r="D702" s="5"/>
      <c r="E702" s="5"/>
    </row>
    <row r="703">
      <c r="B703" s="5"/>
      <c r="C703" s="5"/>
      <c r="D703" s="5"/>
      <c r="E703" s="5"/>
    </row>
    <row r="704">
      <c r="B704" s="5"/>
      <c r="C704" s="5"/>
      <c r="D704" s="5"/>
      <c r="E704" s="5"/>
    </row>
    <row r="705">
      <c r="B705" s="5"/>
      <c r="C705" s="5"/>
      <c r="D705" s="5"/>
      <c r="E705" s="5"/>
    </row>
    <row r="706">
      <c r="B706" s="5"/>
      <c r="C706" s="5"/>
      <c r="D706" s="5"/>
      <c r="E706" s="5"/>
    </row>
    <row r="707">
      <c r="B707" s="5"/>
      <c r="C707" s="5"/>
      <c r="D707" s="5"/>
      <c r="E707" s="5"/>
    </row>
    <row r="708">
      <c r="B708" s="5"/>
      <c r="C708" s="5"/>
      <c r="D708" s="5"/>
      <c r="E708" s="5"/>
    </row>
    <row r="709">
      <c r="B709" s="5"/>
      <c r="C709" s="5"/>
      <c r="D709" s="5"/>
      <c r="E709" s="5"/>
    </row>
    <row r="710">
      <c r="B710" s="5"/>
      <c r="C710" s="5"/>
      <c r="D710" s="5"/>
      <c r="E710" s="5"/>
    </row>
    <row r="711">
      <c r="B711" s="5"/>
      <c r="C711" s="5"/>
      <c r="D711" s="5"/>
      <c r="E711" s="5"/>
    </row>
    <row r="712">
      <c r="B712" s="5"/>
      <c r="C712" s="5"/>
      <c r="D712" s="5"/>
      <c r="E712" s="5"/>
    </row>
    <row r="713">
      <c r="B713" s="5"/>
      <c r="C713" s="5"/>
      <c r="D713" s="5"/>
      <c r="E713" s="5"/>
    </row>
    <row r="714">
      <c r="B714" s="5"/>
      <c r="C714" s="5"/>
      <c r="D714" s="5"/>
      <c r="E714" s="5"/>
    </row>
    <row r="715">
      <c r="B715" s="5"/>
      <c r="C715" s="5"/>
      <c r="D715" s="5"/>
      <c r="E715" s="5"/>
    </row>
    <row r="716">
      <c r="B716" s="5"/>
      <c r="C716" s="5"/>
      <c r="D716" s="5"/>
      <c r="E716" s="5"/>
    </row>
    <row r="717">
      <c r="B717" s="5"/>
      <c r="C717" s="5"/>
      <c r="D717" s="5"/>
      <c r="E717" s="5"/>
    </row>
    <row r="718">
      <c r="B718" s="5"/>
      <c r="C718" s="5"/>
      <c r="D718" s="5"/>
      <c r="E718" s="5"/>
    </row>
    <row r="719">
      <c r="B719" s="5"/>
      <c r="C719" s="5"/>
      <c r="D719" s="5"/>
      <c r="E719" s="5"/>
    </row>
    <row r="720">
      <c r="B720" s="5"/>
      <c r="C720" s="5"/>
      <c r="D720" s="5"/>
      <c r="E720" s="5"/>
    </row>
    <row r="721">
      <c r="B721" s="5"/>
      <c r="C721" s="5"/>
      <c r="D721" s="5"/>
      <c r="E721" s="5"/>
    </row>
    <row r="722">
      <c r="B722" s="5"/>
      <c r="C722" s="5"/>
      <c r="D722" s="5"/>
      <c r="E722" s="5"/>
    </row>
    <row r="723">
      <c r="B723" s="5"/>
      <c r="C723" s="5"/>
      <c r="D723" s="5"/>
      <c r="E723" s="5"/>
    </row>
    <row r="724">
      <c r="B724" s="5"/>
      <c r="C724" s="5"/>
      <c r="D724" s="5"/>
      <c r="E724" s="5"/>
    </row>
    <row r="725">
      <c r="B725" s="5"/>
      <c r="C725" s="5"/>
      <c r="D725" s="5"/>
      <c r="E725" s="5"/>
    </row>
    <row r="726">
      <c r="B726" s="5"/>
      <c r="C726" s="5"/>
      <c r="D726" s="5"/>
      <c r="E726" s="5"/>
    </row>
    <row r="727">
      <c r="B727" s="5"/>
      <c r="C727" s="5"/>
      <c r="D727" s="5"/>
      <c r="E727" s="5"/>
    </row>
    <row r="728">
      <c r="B728" s="5"/>
      <c r="C728" s="5"/>
      <c r="D728" s="5"/>
      <c r="E728" s="5"/>
    </row>
    <row r="729">
      <c r="B729" s="5"/>
      <c r="C729" s="5"/>
      <c r="D729" s="5"/>
      <c r="E729" s="5"/>
    </row>
    <row r="730">
      <c r="B730" s="5"/>
      <c r="C730" s="5"/>
      <c r="D730" s="5"/>
      <c r="E730" s="5"/>
    </row>
    <row r="731">
      <c r="B731" s="5"/>
      <c r="C731" s="5"/>
      <c r="D731" s="5"/>
      <c r="E731" s="5"/>
    </row>
    <row r="732">
      <c r="B732" s="5"/>
      <c r="C732" s="5"/>
      <c r="D732" s="5"/>
      <c r="E732" s="5"/>
    </row>
    <row r="733">
      <c r="B733" s="5"/>
      <c r="C733" s="5"/>
      <c r="D733" s="5"/>
      <c r="E733" s="5"/>
    </row>
    <row r="734">
      <c r="B734" s="5"/>
      <c r="C734" s="5"/>
      <c r="D734" s="5"/>
      <c r="E734" s="5"/>
    </row>
    <row r="735">
      <c r="B735" s="5"/>
      <c r="C735" s="5"/>
      <c r="D735" s="5"/>
      <c r="E735" s="5"/>
    </row>
    <row r="736">
      <c r="B736" s="5"/>
      <c r="C736" s="5"/>
      <c r="D736" s="5"/>
      <c r="E736" s="5"/>
    </row>
    <row r="737">
      <c r="B737" s="5"/>
      <c r="C737" s="5"/>
      <c r="D737" s="5"/>
      <c r="E737" s="5"/>
    </row>
    <row r="738">
      <c r="B738" s="5"/>
      <c r="C738" s="5"/>
      <c r="D738" s="5"/>
      <c r="E738" s="5"/>
    </row>
    <row r="739">
      <c r="B739" s="5"/>
      <c r="C739" s="5"/>
      <c r="D739" s="5"/>
      <c r="E739" s="5"/>
    </row>
    <row r="740">
      <c r="B740" s="5"/>
      <c r="C740" s="5"/>
      <c r="D740" s="5"/>
      <c r="E740" s="5"/>
    </row>
    <row r="741">
      <c r="B741" s="5"/>
      <c r="C741" s="5"/>
      <c r="D741" s="5"/>
      <c r="E741" s="5"/>
    </row>
    <row r="742">
      <c r="B742" s="5"/>
      <c r="C742" s="5"/>
      <c r="D742" s="5"/>
      <c r="E742" s="5"/>
    </row>
    <row r="743">
      <c r="B743" s="5"/>
      <c r="C743" s="5"/>
      <c r="D743" s="5"/>
      <c r="E743" s="5"/>
    </row>
    <row r="744">
      <c r="B744" s="5"/>
      <c r="C744" s="5"/>
      <c r="D744" s="5"/>
      <c r="E744" s="5"/>
    </row>
    <row r="745">
      <c r="B745" s="5"/>
      <c r="C745" s="5"/>
      <c r="D745" s="5"/>
      <c r="E745" s="5"/>
    </row>
    <row r="746">
      <c r="B746" s="5"/>
      <c r="C746" s="5"/>
      <c r="D746" s="5"/>
      <c r="E746" s="5"/>
    </row>
    <row r="747">
      <c r="B747" s="5"/>
      <c r="C747" s="5"/>
      <c r="D747" s="5"/>
      <c r="E747" s="5"/>
    </row>
    <row r="748">
      <c r="B748" s="5"/>
      <c r="C748" s="5"/>
      <c r="D748" s="5"/>
      <c r="E748" s="5"/>
    </row>
    <row r="749">
      <c r="B749" s="5"/>
      <c r="C749" s="5"/>
      <c r="D749" s="5"/>
      <c r="E749" s="5"/>
    </row>
    <row r="750">
      <c r="B750" s="5"/>
      <c r="C750" s="5"/>
      <c r="D750" s="5"/>
      <c r="E750" s="5"/>
    </row>
    <row r="751">
      <c r="B751" s="5"/>
      <c r="C751" s="5"/>
      <c r="D751" s="5"/>
      <c r="E751" s="5"/>
    </row>
    <row r="752">
      <c r="B752" s="5"/>
      <c r="C752" s="5"/>
      <c r="D752" s="5"/>
      <c r="E752" s="5"/>
    </row>
    <row r="753">
      <c r="B753" s="5"/>
      <c r="C753" s="5"/>
      <c r="D753" s="5"/>
      <c r="E753" s="5"/>
    </row>
    <row r="754">
      <c r="B754" s="5"/>
      <c r="C754" s="5"/>
      <c r="D754" s="5"/>
      <c r="E754" s="5"/>
    </row>
    <row r="755">
      <c r="B755" s="5"/>
      <c r="C755" s="5"/>
      <c r="D755" s="5"/>
      <c r="E755" s="5"/>
    </row>
    <row r="756">
      <c r="B756" s="5"/>
      <c r="C756" s="5"/>
      <c r="D756" s="5"/>
      <c r="E756" s="5"/>
    </row>
    <row r="757">
      <c r="B757" s="5"/>
      <c r="C757" s="5"/>
      <c r="D757" s="5"/>
      <c r="E757" s="5"/>
    </row>
    <row r="758">
      <c r="B758" s="5"/>
      <c r="C758" s="5"/>
      <c r="D758" s="5"/>
      <c r="E758" s="5"/>
    </row>
    <row r="759">
      <c r="B759" s="5"/>
      <c r="C759" s="5"/>
      <c r="D759" s="5"/>
      <c r="E759" s="5"/>
    </row>
    <row r="760">
      <c r="B760" s="5"/>
      <c r="C760" s="5"/>
      <c r="D760" s="5"/>
      <c r="E760" s="5"/>
    </row>
    <row r="761">
      <c r="B761" s="5"/>
      <c r="C761" s="5"/>
      <c r="D761" s="5"/>
      <c r="E761" s="5"/>
    </row>
    <row r="762">
      <c r="B762" s="5"/>
      <c r="C762" s="5"/>
      <c r="D762" s="5"/>
      <c r="E762" s="5"/>
    </row>
    <row r="763">
      <c r="B763" s="5"/>
      <c r="C763" s="5"/>
      <c r="D763" s="5"/>
      <c r="E763" s="5"/>
    </row>
    <row r="764">
      <c r="B764" s="5"/>
      <c r="C764" s="5"/>
      <c r="D764" s="5"/>
      <c r="E764" s="5"/>
    </row>
    <row r="765">
      <c r="B765" s="5"/>
      <c r="C765" s="5"/>
      <c r="D765" s="5"/>
      <c r="E765" s="5"/>
    </row>
    <row r="766">
      <c r="B766" s="5"/>
      <c r="C766" s="5"/>
      <c r="D766" s="5"/>
      <c r="E766" s="5"/>
    </row>
    <row r="767">
      <c r="B767" s="5"/>
      <c r="C767" s="5"/>
      <c r="D767" s="5"/>
      <c r="E767" s="5"/>
    </row>
    <row r="768">
      <c r="B768" s="5"/>
      <c r="C768" s="5"/>
      <c r="D768" s="5"/>
      <c r="E768" s="5"/>
    </row>
    <row r="769">
      <c r="B769" s="5"/>
      <c r="C769" s="5"/>
      <c r="D769" s="5"/>
      <c r="E769" s="5"/>
    </row>
    <row r="770">
      <c r="B770" s="5"/>
      <c r="C770" s="5"/>
      <c r="D770" s="5"/>
      <c r="E770" s="5"/>
    </row>
    <row r="771">
      <c r="B771" s="5"/>
      <c r="C771" s="5"/>
      <c r="D771" s="5"/>
      <c r="E771" s="5"/>
    </row>
    <row r="772">
      <c r="B772" s="5"/>
      <c r="C772" s="5"/>
      <c r="D772" s="5"/>
      <c r="E772" s="5"/>
    </row>
    <row r="773">
      <c r="B773" s="5"/>
      <c r="C773" s="5"/>
      <c r="D773" s="5"/>
      <c r="E773" s="5"/>
    </row>
    <row r="774">
      <c r="B774" s="5"/>
      <c r="C774" s="5"/>
      <c r="D774" s="5"/>
      <c r="E774" s="5"/>
    </row>
    <row r="775">
      <c r="B775" s="5"/>
      <c r="C775" s="5"/>
      <c r="D775" s="5"/>
      <c r="E775" s="5"/>
    </row>
    <row r="776">
      <c r="B776" s="5"/>
      <c r="C776" s="5"/>
      <c r="D776" s="5"/>
      <c r="E776" s="5"/>
    </row>
    <row r="777">
      <c r="B777" s="5"/>
      <c r="C777" s="5"/>
      <c r="D777" s="5"/>
      <c r="E777" s="5"/>
    </row>
    <row r="778">
      <c r="B778" s="5"/>
      <c r="C778" s="5"/>
      <c r="D778" s="5"/>
      <c r="E778" s="5"/>
    </row>
    <row r="779">
      <c r="B779" s="5"/>
      <c r="C779" s="5"/>
      <c r="D779" s="5"/>
      <c r="E779" s="5"/>
    </row>
    <row r="780">
      <c r="B780" s="5"/>
      <c r="C780" s="5"/>
      <c r="D780" s="5"/>
      <c r="E780" s="5"/>
    </row>
    <row r="781">
      <c r="B781" s="5"/>
      <c r="C781" s="5"/>
      <c r="D781" s="5"/>
      <c r="E781" s="5"/>
    </row>
    <row r="782">
      <c r="B782" s="5"/>
      <c r="C782" s="5"/>
      <c r="D782" s="5"/>
      <c r="E782" s="5"/>
    </row>
    <row r="783">
      <c r="B783" s="5"/>
      <c r="C783" s="5"/>
      <c r="D783" s="5"/>
      <c r="E783" s="5"/>
    </row>
    <row r="784">
      <c r="B784" s="5"/>
      <c r="C784" s="5"/>
      <c r="D784" s="5"/>
      <c r="E784" s="5"/>
    </row>
    <row r="785">
      <c r="B785" s="5"/>
      <c r="C785" s="5"/>
      <c r="D785" s="5"/>
      <c r="E785" s="5"/>
    </row>
    <row r="786">
      <c r="B786" s="5"/>
      <c r="C786" s="5"/>
      <c r="D786" s="5"/>
      <c r="E786" s="5"/>
    </row>
    <row r="787">
      <c r="B787" s="5"/>
      <c r="C787" s="5"/>
      <c r="D787" s="5"/>
      <c r="E787" s="5"/>
    </row>
    <row r="788">
      <c r="B788" s="5"/>
      <c r="C788" s="5"/>
      <c r="D788" s="5"/>
      <c r="E788" s="5"/>
    </row>
    <row r="789">
      <c r="B789" s="5"/>
      <c r="C789" s="5"/>
      <c r="D789" s="5"/>
      <c r="E789" s="5"/>
    </row>
    <row r="790">
      <c r="B790" s="5"/>
      <c r="C790" s="5"/>
      <c r="D790" s="5"/>
      <c r="E790" s="5"/>
    </row>
    <row r="791">
      <c r="B791" s="5"/>
      <c r="C791" s="5"/>
      <c r="D791" s="5"/>
      <c r="E791" s="5"/>
    </row>
    <row r="792">
      <c r="B792" s="5"/>
      <c r="C792" s="5"/>
      <c r="D792" s="5"/>
      <c r="E792" s="5"/>
    </row>
    <row r="793">
      <c r="B793" s="5"/>
      <c r="C793" s="5"/>
      <c r="D793" s="5"/>
      <c r="E793" s="5"/>
    </row>
    <row r="794">
      <c r="B794" s="5"/>
      <c r="C794" s="5"/>
      <c r="D794" s="5"/>
      <c r="E794" s="5"/>
    </row>
    <row r="795">
      <c r="B795" s="5"/>
      <c r="C795" s="5"/>
      <c r="D795" s="5"/>
      <c r="E795" s="5"/>
    </row>
    <row r="796">
      <c r="B796" s="5"/>
      <c r="C796" s="5"/>
      <c r="D796" s="5"/>
      <c r="E796" s="5"/>
    </row>
    <row r="797">
      <c r="B797" s="5"/>
      <c r="C797" s="5"/>
      <c r="D797" s="5"/>
      <c r="E797" s="5"/>
    </row>
    <row r="798">
      <c r="B798" s="5"/>
      <c r="C798" s="5"/>
      <c r="D798" s="5"/>
      <c r="E798" s="5"/>
    </row>
    <row r="799">
      <c r="B799" s="5"/>
      <c r="C799" s="5"/>
      <c r="D799" s="5"/>
      <c r="E799" s="5"/>
    </row>
    <row r="800">
      <c r="B800" s="5"/>
      <c r="C800" s="5"/>
      <c r="D800" s="5"/>
      <c r="E800" s="5"/>
    </row>
    <row r="801">
      <c r="B801" s="5"/>
      <c r="C801" s="5"/>
      <c r="D801" s="5"/>
      <c r="E801" s="5"/>
    </row>
    <row r="802">
      <c r="B802" s="5"/>
      <c r="C802" s="5"/>
      <c r="D802" s="5"/>
      <c r="E802" s="5"/>
    </row>
    <row r="803">
      <c r="B803" s="5"/>
      <c r="C803" s="5"/>
      <c r="D803" s="5"/>
      <c r="E803" s="5"/>
    </row>
    <row r="804">
      <c r="B804" s="5"/>
      <c r="C804" s="5"/>
      <c r="D804" s="5"/>
      <c r="E804" s="5"/>
    </row>
    <row r="805">
      <c r="B805" s="5"/>
      <c r="C805" s="5"/>
      <c r="D805" s="5"/>
      <c r="E805" s="5"/>
    </row>
    <row r="806">
      <c r="B806" s="5"/>
      <c r="C806" s="5"/>
      <c r="D806" s="5"/>
      <c r="E806" s="5"/>
    </row>
    <row r="807">
      <c r="B807" s="5"/>
      <c r="C807" s="5"/>
      <c r="D807" s="5"/>
      <c r="E807" s="5"/>
    </row>
    <row r="808">
      <c r="B808" s="5"/>
      <c r="C808" s="5"/>
      <c r="D808" s="5"/>
      <c r="E808" s="5"/>
    </row>
    <row r="809">
      <c r="B809" s="5"/>
      <c r="C809" s="5"/>
      <c r="D809" s="5"/>
      <c r="E809" s="5"/>
    </row>
    <row r="810">
      <c r="B810" s="5"/>
      <c r="C810" s="5"/>
      <c r="D810" s="5"/>
      <c r="E810" s="5"/>
    </row>
    <row r="811">
      <c r="B811" s="5"/>
      <c r="C811" s="5"/>
      <c r="D811" s="5"/>
      <c r="E811" s="5"/>
    </row>
    <row r="812">
      <c r="B812" s="5"/>
      <c r="C812" s="5"/>
      <c r="D812" s="5"/>
      <c r="E812" s="5"/>
    </row>
    <row r="813">
      <c r="B813" s="5"/>
      <c r="C813" s="5"/>
      <c r="D813" s="5"/>
      <c r="E813" s="5"/>
    </row>
    <row r="814">
      <c r="B814" s="5"/>
      <c r="C814" s="5"/>
      <c r="D814" s="5"/>
      <c r="E814" s="5"/>
    </row>
    <row r="815">
      <c r="B815" s="5"/>
      <c r="C815" s="5"/>
      <c r="D815" s="5"/>
      <c r="E815" s="5"/>
    </row>
    <row r="816">
      <c r="B816" s="5"/>
      <c r="C816" s="5"/>
      <c r="D816" s="5"/>
      <c r="E816" s="5"/>
    </row>
    <row r="817">
      <c r="B817" s="5"/>
      <c r="C817" s="5"/>
      <c r="D817" s="5"/>
      <c r="E817" s="5"/>
    </row>
    <row r="818">
      <c r="B818" s="5"/>
      <c r="C818" s="5"/>
      <c r="D818" s="5"/>
      <c r="E818" s="5"/>
    </row>
    <row r="819">
      <c r="B819" s="5"/>
      <c r="C819" s="5"/>
      <c r="D819" s="5"/>
      <c r="E819" s="5"/>
    </row>
    <row r="820">
      <c r="B820" s="5"/>
      <c r="C820" s="5"/>
      <c r="D820" s="5"/>
      <c r="E820" s="5"/>
    </row>
    <row r="821">
      <c r="B821" s="5"/>
      <c r="C821" s="5"/>
      <c r="D821" s="5"/>
      <c r="E821" s="5"/>
    </row>
    <row r="822">
      <c r="B822" s="5"/>
      <c r="C822" s="5"/>
      <c r="D822" s="5"/>
      <c r="E822" s="5"/>
    </row>
    <row r="823">
      <c r="B823" s="5"/>
      <c r="C823" s="5"/>
      <c r="D823" s="5"/>
      <c r="E823" s="5"/>
    </row>
    <row r="824">
      <c r="B824" s="5"/>
      <c r="C824" s="5"/>
      <c r="D824" s="5"/>
      <c r="E824" s="5"/>
    </row>
    <row r="825">
      <c r="B825" s="5"/>
      <c r="C825" s="5"/>
      <c r="D825" s="5"/>
      <c r="E825" s="5"/>
    </row>
    <row r="826">
      <c r="B826" s="5"/>
      <c r="C826" s="5"/>
      <c r="D826" s="5"/>
      <c r="E826" s="5"/>
    </row>
    <row r="827">
      <c r="B827" s="5"/>
      <c r="C827" s="5"/>
      <c r="D827" s="5"/>
      <c r="E827" s="5"/>
    </row>
    <row r="828">
      <c r="B828" s="5"/>
      <c r="C828" s="5"/>
      <c r="D828" s="5"/>
      <c r="E828" s="5"/>
    </row>
    <row r="829">
      <c r="B829" s="5"/>
      <c r="C829" s="5"/>
      <c r="D829" s="5"/>
      <c r="E829" s="5"/>
    </row>
    <row r="830">
      <c r="B830" s="5"/>
      <c r="C830" s="5"/>
      <c r="D830" s="5"/>
      <c r="E830" s="5"/>
    </row>
    <row r="831">
      <c r="B831" s="5"/>
      <c r="C831" s="5"/>
      <c r="D831" s="5"/>
      <c r="E831" s="5"/>
    </row>
    <row r="832">
      <c r="B832" s="5"/>
      <c r="C832" s="5"/>
      <c r="D832" s="5"/>
      <c r="E832" s="5"/>
    </row>
    <row r="833">
      <c r="B833" s="5"/>
      <c r="C833" s="5"/>
      <c r="D833" s="5"/>
      <c r="E833" s="5"/>
    </row>
    <row r="834">
      <c r="B834" s="5"/>
      <c r="C834" s="5"/>
      <c r="D834" s="5"/>
      <c r="E834" s="5"/>
    </row>
    <row r="835">
      <c r="B835" s="5"/>
      <c r="C835" s="5"/>
      <c r="D835" s="5"/>
      <c r="E835" s="5"/>
    </row>
    <row r="836">
      <c r="B836" s="5"/>
      <c r="C836" s="5"/>
      <c r="D836" s="5"/>
      <c r="E836" s="5"/>
    </row>
    <row r="837">
      <c r="B837" s="5"/>
      <c r="C837" s="5"/>
      <c r="D837" s="5"/>
      <c r="E837" s="5"/>
    </row>
    <row r="838">
      <c r="B838" s="5"/>
      <c r="C838" s="5"/>
      <c r="D838" s="5"/>
      <c r="E838" s="5"/>
    </row>
    <row r="839">
      <c r="B839" s="5"/>
      <c r="C839" s="5"/>
      <c r="D839" s="5"/>
      <c r="E839" s="5"/>
    </row>
    <row r="840">
      <c r="B840" s="5"/>
      <c r="C840" s="5"/>
      <c r="D840" s="5"/>
      <c r="E840" s="5"/>
    </row>
    <row r="841">
      <c r="B841" s="5"/>
      <c r="C841" s="5"/>
      <c r="D841" s="5"/>
      <c r="E841" s="5"/>
    </row>
    <row r="842">
      <c r="B842" s="5"/>
      <c r="C842" s="5"/>
      <c r="D842" s="5"/>
      <c r="E842" s="5"/>
    </row>
    <row r="843">
      <c r="B843" s="5"/>
      <c r="C843" s="5"/>
      <c r="D843" s="5"/>
      <c r="E843" s="5"/>
    </row>
    <row r="844">
      <c r="B844" s="5"/>
      <c r="C844" s="5"/>
      <c r="D844" s="5"/>
      <c r="E844" s="5"/>
    </row>
    <row r="845">
      <c r="B845" s="5"/>
      <c r="C845" s="5"/>
      <c r="D845" s="5"/>
      <c r="E845" s="5"/>
    </row>
    <row r="846">
      <c r="B846" s="5"/>
      <c r="C846" s="5"/>
      <c r="D846" s="5"/>
      <c r="E846" s="5"/>
    </row>
    <row r="847">
      <c r="B847" s="5"/>
      <c r="C847" s="5"/>
      <c r="D847" s="5"/>
      <c r="E847" s="5"/>
    </row>
    <row r="848">
      <c r="B848" s="5"/>
      <c r="C848" s="5"/>
      <c r="D848" s="5"/>
      <c r="E848" s="5"/>
    </row>
    <row r="849">
      <c r="B849" s="5"/>
      <c r="C849" s="5"/>
      <c r="D849" s="5"/>
      <c r="E849" s="5"/>
    </row>
    <row r="850">
      <c r="B850" s="5"/>
      <c r="C850" s="5"/>
      <c r="D850" s="5"/>
      <c r="E850" s="5"/>
    </row>
    <row r="851">
      <c r="B851" s="5"/>
      <c r="C851" s="5"/>
      <c r="D851" s="5"/>
      <c r="E851" s="5"/>
    </row>
    <row r="852">
      <c r="B852" s="5"/>
      <c r="C852" s="5"/>
      <c r="D852" s="5"/>
      <c r="E852" s="5"/>
    </row>
    <row r="853">
      <c r="B853" s="5"/>
      <c r="C853" s="5"/>
      <c r="D853" s="5"/>
      <c r="E853" s="5"/>
    </row>
    <row r="854">
      <c r="B854" s="5"/>
      <c r="C854" s="5"/>
      <c r="D854" s="5"/>
      <c r="E854" s="5"/>
    </row>
    <row r="855">
      <c r="B855" s="5"/>
      <c r="C855" s="5"/>
      <c r="D855" s="5"/>
      <c r="E855" s="5"/>
    </row>
    <row r="856">
      <c r="B856" s="5"/>
      <c r="C856" s="5"/>
      <c r="D856" s="5"/>
      <c r="E856" s="5"/>
    </row>
    <row r="857">
      <c r="B857" s="5"/>
      <c r="C857" s="5"/>
      <c r="D857" s="5"/>
      <c r="E857" s="5"/>
    </row>
    <row r="858">
      <c r="B858" s="5"/>
      <c r="C858" s="5"/>
      <c r="D858" s="5"/>
      <c r="E858" s="5"/>
    </row>
    <row r="859">
      <c r="B859" s="5"/>
      <c r="C859" s="5"/>
      <c r="D859" s="5"/>
      <c r="E859" s="5"/>
    </row>
    <row r="860">
      <c r="B860" s="5"/>
      <c r="C860" s="5"/>
      <c r="D860" s="5"/>
      <c r="E860" s="5"/>
    </row>
    <row r="861">
      <c r="B861" s="5"/>
      <c r="C861" s="5"/>
      <c r="D861" s="5"/>
      <c r="E861" s="5"/>
    </row>
    <row r="862">
      <c r="B862" s="5"/>
      <c r="C862" s="5"/>
      <c r="D862" s="5"/>
      <c r="E862" s="5"/>
    </row>
    <row r="863">
      <c r="B863" s="5"/>
      <c r="C863" s="5"/>
      <c r="D863" s="5"/>
      <c r="E863" s="5"/>
    </row>
    <row r="864">
      <c r="B864" s="5"/>
      <c r="C864" s="5"/>
      <c r="D864" s="5"/>
      <c r="E864" s="5"/>
    </row>
    <row r="865">
      <c r="B865" s="5"/>
      <c r="C865" s="5"/>
      <c r="D865" s="5"/>
      <c r="E865" s="5"/>
    </row>
    <row r="866">
      <c r="B866" s="5"/>
      <c r="C866" s="5"/>
      <c r="D866" s="5"/>
      <c r="E866" s="5"/>
    </row>
    <row r="867">
      <c r="B867" s="5"/>
      <c r="C867" s="5"/>
      <c r="D867" s="5"/>
      <c r="E867" s="5"/>
    </row>
    <row r="868">
      <c r="B868" s="5"/>
      <c r="C868" s="5"/>
      <c r="D868" s="5"/>
      <c r="E868" s="5"/>
    </row>
    <row r="869">
      <c r="B869" s="5"/>
      <c r="C869" s="5"/>
      <c r="D869" s="5"/>
      <c r="E869" s="5"/>
    </row>
    <row r="870">
      <c r="B870" s="5"/>
      <c r="C870" s="5"/>
      <c r="D870" s="5"/>
      <c r="E870" s="5"/>
    </row>
    <row r="871">
      <c r="B871" s="5"/>
      <c r="C871" s="5"/>
      <c r="D871" s="5"/>
      <c r="E871" s="5"/>
    </row>
    <row r="872">
      <c r="B872" s="5"/>
      <c r="C872" s="5"/>
      <c r="D872" s="5"/>
      <c r="E872" s="5"/>
    </row>
    <row r="873">
      <c r="B873" s="5"/>
      <c r="C873" s="5"/>
      <c r="D873" s="5"/>
      <c r="E873" s="5"/>
    </row>
    <row r="874">
      <c r="B874" s="5"/>
      <c r="C874" s="5"/>
      <c r="D874" s="5"/>
      <c r="E874" s="5"/>
    </row>
    <row r="875">
      <c r="B875" s="5"/>
      <c r="C875" s="5"/>
      <c r="D875" s="5"/>
      <c r="E875" s="5"/>
    </row>
    <row r="876">
      <c r="B876" s="5"/>
      <c r="C876" s="5"/>
      <c r="D876" s="5"/>
      <c r="E876" s="5"/>
    </row>
    <row r="877">
      <c r="B877" s="5"/>
      <c r="C877" s="5"/>
      <c r="D877" s="5"/>
      <c r="E877" s="5"/>
    </row>
    <row r="878">
      <c r="B878" s="5"/>
      <c r="C878" s="5"/>
      <c r="D878" s="5"/>
      <c r="E878" s="5"/>
    </row>
    <row r="879">
      <c r="B879" s="5"/>
      <c r="C879" s="5"/>
      <c r="D879" s="5"/>
      <c r="E879" s="5"/>
    </row>
    <row r="880">
      <c r="B880" s="5"/>
      <c r="C880" s="5"/>
      <c r="D880" s="5"/>
      <c r="E880" s="5"/>
    </row>
    <row r="881">
      <c r="B881" s="5"/>
      <c r="C881" s="5"/>
      <c r="D881" s="5"/>
      <c r="E881" s="5"/>
    </row>
    <row r="882">
      <c r="B882" s="5"/>
      <c r="C882" s="5"/>
      <c r="D882" s="5"/>
      <c r="E882" s="5"/>
    </row>
    <row r="883">
      <c r="B883" s="5"/>
      <c r="C883" s="5"/>
      <c r="D883" s="5"/>
      <c r="E883" s="5"/>
    </row>
    <row r="884">
      <c r="B884" s="5"/>
      <c r="C884" s="5"/>
      <c r="D884" s="5"/>
      <c r="E884" s="5"/>
    </row>
    <row r="885">
      <c r="B885" s="5"/>
      <c r="C885" s="5"/>
      <c r="D885" s="5"/>
      <c r="E885" s="5"/>
    </row>
    <row r="886">
      <c r="B886" s="5"/>
      <c r="C886" s="5"/>
      <c r="D886" s="5"/>
      <c r="E886" s="5"/>
    </row>
    <row r="887">
      <c r="B887" s="5"/>
      <c r="C887" s="5"/>
      <c r="D887" s="5"/>
      <c r="E887" s="5"/>
    </row>
    <row r="888">
      <c r="B888" s="5"/>
      <c r="C888" s="5"/>
      <c r="D888" s="5"/>
      <c r="E888" s="5"/>
    </row>
    <row r="889">
      <c r="B889" s="5"/>
      <c r="C889" s="5"/>
      <c r="D889" s="5"/>
      <c r="E889" s="5"/>
    </row>
    <row r="890">
      <c r="B890" s="5"/>
      <c r="C890" s="5"/>
      <c r="D890" s="5"/>
      <c r="E890" s="5"/>
    </row>
    <row r="891">
      <c r="B891" s="5"/>
      <c r="C891" s="5"/>
      <c r="D891" s="5"/>
      <c r="E891" s="5"/>
    </row>
    <row r="892">
      <c r="B892" s="5"/>
      <c r="C892" s="5"/>
      <c r="D892" s="5"/>
      <c r="E892" s="5"/>
    </row>
    <row r="893">
      <c r="B893" s="5"/>
      <c r="C893" s="5"/>
      <c r="D893" s="5"/>
      <c r="E893" s="5"/>
    </row>
    <row r="894">
      <c r="B894" s="5"/>
      <c r="C894" s="5"/>
      <c r="D894" s="5"/>
      <c r="E894" s="5"/>
    </row>
    <row r="895">
      <c r="B895" s="5"/>
      <c r="C895" s="5"/>
      <c r="D895" s="5"/>
      <c r="E895" s="5"/>
    </row>
    <row r="896">
      <c r="B896" s="5"/>
      <c r="C896" s="5"/>
      <c r="D896" s="5"/>
      <c r="E896" s="5"/>
    </row>
    <row r="897">
      <c r="B897" s="5"/>
      <c r="C897" s="5"/>
      <c r="D897" s="5"/>
      <c r="E897" s="5"/>
    </row>
    <row r="898">
      <c r="B898" s="5"/>
      <c r="C898" s="5"/>
      <c r="D898" s="5"/>
      <c r="E898" s="5"/>
    </row>
    <row r="899">
      <c r="B899" s="5"/>
      <c r="C899" s="5"/>
      <c r="D899" s="5"/>
      <c r="E899" s="5"/>
    </row>
    <row r="900">
      <c r="B900" s="5"/>
      <c r="C900" s="5"/>
      <c r="D900" s="5"/>
      <c r="E900" s="5"/>
    </row>
    <row r="901">
      <c r="B901" s="5"/>
      <c r="C901" s="5"/>
      <c r="D901" s="5"/>
      <c r="E901" s="5"/>
    </row>
    <row r="902">
      <c r="B902" s="5"/>
      <c r="C902" s="5"/>
      <c r="D902" s="5"/>
      <c r="E902" s="5"/>
    </row>
    <row r="903">
      <c r="B903" s="5"/>
      <c r="C903" s="5"/>
      <c r="D903" s="5"/>
      <c r="E903" s="5"/>
    </row>
    <row r="904">
      <c r="B904" s="5"/>
      <c r="C904" s="5"/>
      <c r="D904" s="5"/>
      <c r="E904" s="5"/>
    </row>
    <row r="905">
      <c r="B905" s="5"/>
      <c r="C905" s="5"/>
      <c r="D905" s="5"/>
      <c r="E905" s="5"/>
    </row>
    <row r="906">
      <c r="B906" s="5"/>
      <c r="C906" s="5"/>
      <c r="D906" s="5"/>
      <c r="E906" s="5"/>
    </row>
    <row r="907">
      <c r="B907" s="5"/>
      <c r="C907" s="5"/>
      <c r="D907" s="5"/>
      <c r="E907" s="5"/>
    </row>
    <row r="908">
      <c r="B908" s="5"/>
      <c r="C908" s="5"/>
      <c r="D908" s="5"/>
      <c r="E908" s="5"/>
    </row>
    <row r="909">
      <c r="B909" s="5"/>
      <c r="C909" s="5"/>
      <c r="D909" s="5"/>
      <c r="E909" s="5"/>
    </row>
    <row r="910">
      <c r="B910" s="5"/>
      <c r="C910" s="5"/>
      <c r="D910" s="5"/>
      <c r="E910" s="5"/>
    </row>
    <row r="911">
      <c r="B911" s="5"/>
      <c r="C911" s="5"/>
      <c r="D911" s="5"/>
      <c r="E911" s="5"/>
    </row>
    <row r="912">
      <c r="B912" s="5"/>
      <c r="C912" s="5"/>
      <c r="D912" s="5"/>
      <c r="E912" s="5"/>
    </row>
    <row r="913">
      <c r="B913" s="5"/>
      <c r="C913" s="5"/>
      <c r="D913" s="5"/>
      <c r="E913" s="5"/>
    </row>
    <row r="914">
      <c r="B914" s="5"/>
      <c r="C914" s="5"/>
      <c r="D914" s="5"/>
      <c r="E914" s="5"/>
    </row>
    <row r="915">
      <c r="B915" s="5"/>
      <c r="C915" s="5"/>
      <c r="D915" s="5"/>
      <c r="E915" s="5"/>
    </row>
    <row r="916">
      <c r="B916" s="5"/>
      <c r="C916" s="5"/>
      <c r="D916" s="5"/>
      <c r="E916" s="5"/>
    </row>
    <row r="917">
      <c r="B917" s="5"/>
      <c r="C917" s="5"/>
      <c r="D917" s="5"/>
      <c r="E917" s="5"/>
    </row>
    <row r="918">
      <c r="B918" s="5"/>
      <c r="C918" s="5"/>
      <c r="D918" s="5"/>
      <c r="E918" s="5"/>
    </row>
    <row r="919">
      <c r="B919" s="5"/>
      <c r="C919" s="5"/>
      <c r="D919" s="5"/>
      <c r="E919" s="5"/>
    </row>
    <row r="920">
      <c r="B920" s="5"/>
      <c r="C920" s="5"/>
      <c r="D920" s="5"/>
      <c r="E920" s="5"/>
    </row>
    <row r="921">
      <c r="B921" s="5"/>
      <c r="C921" s="5"/>
      <c r="D921" s="5"/>
      <c r="E921" s="5"/>
    </row>
    <row r="922">
      <c r="B922" s="5"/>
      <c r="C922" s="5"/>
      <c r="D922" s="5"/>
      <c r="E922" s="5"/>
    </row>
    <row r="923">
      <c r="B923" s="5"/>
      <c r="C923" s="5"/>
      <c r="D923" s="5"/>
      <c r="E923" s="5"/>
    </row>
    <row r="924">
      <c r="B924" s="5"/>
      <c r="C924" s="5"/>
      <c r="D924" s="5"/>
      <c r="E924" s="5"/>
    </row>
    <row r="925">
      <c r="B925" s="5"/>
      <c r="C925" s="5"/>
      <c r="D925" s="5"/>
      <c r="E925" s="5"/>
    </row>
    <row r="926">
      <c r="B926" s="5"/>
      <c r="C926" s="5"/>
      <c r="D926" s="5"/>
      <c r="E926" s="5"/>
    </row>
    <row r="927">
      <c r="B927" s="5"/>
      <c r="C927" s="5"/>
      <c r="D927" s="5"/>
      <c r="E927" s="5"/>
    </row>
    <row r="928">
      <c r="B928" s="5"/>
      <c r="C928" s="5"/>
      <c r="D928" s="5"/>
      <c r="E928" s="5"/>
    </row>
    <row r="929">
      <c r="B929" s="5"/>
      <c r="C929" s="5"/>
      <c r="D929" s="5"/>
      <c r="E929" s="5"/>
    </row>
    <row r="930">
      <c r="B930" s="5"/>
      <c r="C930" s="5"/>
      <c r="D930" s="5"/>
      <c r="E930" s="5"/>
    </row>
    <row r="931">
      <c r="B931" s="5"/>
      <c r="C931" s="5"/>
      <c r="D931" s="5"/>
      <c r="E931" s="5"/>
    </row>
    <row r="932">
      <c r="B932" s="5"/>
      <c r="C932" s="5"/>
      <c r="D932" s="5"/>
      <c r="E932" s="5"/>
    </row>
    <row r="933">
      <c r="B933" s="5"/>
      <c r="C933" s="5"/>
      <c r="D933" s="5"/>
      <c r="E933" s="5"/>
    </row>
    <row r="934">
      <c r="B934" s="5"/>
      <c r="C934" s="5"/>
      <c r="D934" s="5"/>
      <c r="E934" s="5"/>
    </row>
    <row r="935">
      <c r="B935" s="5"/>
      <c r="C935" s="5"/>
      <c r="D935" s="5"/>
      <c r="E935" s="5"/>
    </row>
    <row r="936">
      <c r="B936" s="5"/>
      <c r="C936" s="5"/>
      <c r="D936" s="5"/>
      <c r="E936" s="5"/>
    </row>
    <row r="937">
      <c r="B937" s="5"/>
      <c r="C937" s="5"/>
      <c r="D937" s="5"/>
      <c r="E937" s="5"/>
    </row>
    <row r="938">
      <c r="B938" s="5"/>
      <c r="C938" s="5"/>
      <c r="D938" s="5"/>
      <c r="E938" s="5"/>
    </row>
    <row r="939">
      <c r="B939" s="5"/>
      <c r="C939" s="5"/>
      <c r="D939" s="5"/>
      <c r="E939" s="5"/>
    </row>
    <row r="940">
      <c r="B940" s="5"/>
      <c r="C940" s="5"/>
      <c r="D940" s="5"/>
      <c r="E940" s="5"/>
    </row>
    <row r="941">
      <c r="B941" s="5"/>
      <c r="C941" s="5"/>
      <c r="D941" s="5"/>
      <c r="E941" s="5"/>
    </row>
    <row r="942">
      <c r="B942" s="5"/>
      <c r="C942" s="5"/>
      <c r="D942" s="5"/>
      <c r="E942" s="5"/>
    </row>
    <row r="943">
      <c r="B943" s="5"/>
      <c r="C943" s="5"/>
      <c r="D943" s="5"/>
      <c r="E943" s="5"/>
    </row>
    <row r="944">
      <c r="B944" s="5"/>
      <c r="C944" s="5"/>
      <c r="D944" s="5"/>
      <c r="E944" s="5"/>
    </row>
    <row r="945">
      <c r="B945" s="5"/>
      <c r="C945" s="5"/>
      <c r="D945" s="5"/>
      <c r="E945" s="5"/>
    </row>
    <row r="946">
      <c r="B946" s="5"/>
      <c r="C946" s="5"/>
      <c r="D946" s="5"/>
      <c r="E946" s="5"/>
    </row>
    <row r="947">
      <c r="B947" s="5"/>
      <c r="C947" s="5"/>
      <c r="D947" s="5"/>
      <c r="E947" s="5"/>
    </row>
    <row r="948">
      <c r="B948" s="5"/>
      <c r="C948" s="5"/>
      <c r="D948" s="5"/>
      <c r="E948" s="5"/>
    </row>
    <row r="949">
      <c r="B949" s="5"/>
      <c r="C949" s="5"/>
      <c r="D949" s="5"/>
      <c r="E949" s="5"/>
    </row>
    <row r="950">
      <c r="B950" s="5"/>
      <c r="C950" s="5"/>
      <c r="D950" s="5"/>
      <c r="E950" s="5"/>
    </row>
    <row r="951">
      <c r="B951" s="5"/>
      <c r="C951" s="5"/>
      <c r="D951" s="5"/>
      <c r="E951" s="5"/>
    </row>
    <row r="952">
      <c r="B952" s="5"/>
      <c r="C952" s="5"/>
      <c r="D952" s="5"/>
      <c r="E952" s="5"/>
    </row>
    <row r="953">
      <c r="B953" s="5"/>
      <c r="C953" s="5"/>
      <c r="D953" s="5"/>
      <c r="E953" s="5"/>
    </row>
    <row r="954">
      <c r="B954" s="5"/>
      <c r="C954" s="5"/>
      <c r="D954" s="5"/>
      <c r="E954" s="5"/>
    </row>
    <row r="955">
      <c r="B955" s="5"/>
      <c r="C955" s="5"/>
      <c r="D955" s="5"/>
      <c r="E955" s="5"/>
    </row>
    <row r="956">
      <c r="B956" s="5"/>
      <c r="C956" s="5"/>
      <c r="D956" s="5"/>
      <c r="E956" s="5"/>
    </row>
    <row r="957">
      <c r="B957" s="5"/>
      <c r="C957" s="5"/>
      <c r="D957" s="5"/>
      <c r="E957" s="5"/>
    </row>
    <row r="958">
      <c r="B958" s="5"/>
      <c r="C958" s="5"/>
      <c r="D958" s="5"/>
      <c r="E958" s="5"/>
    </row>
    <row r="959">
      <c r="B959" s="5"/>
      <c r="C959" s="5"/>
      <c r="D959" s="5"/>
      <c r="E959" s="5"/>
    </row>
    <row r="960">
      <c r="B960" s="5"/>
      <c r="C960" s="5"/>
      <c r="D960" s="5"/>
      <c r="E960" s="5"/>
    </row>
    <row r="961">
      <c r="B961" s="5"/>
      <c r="C961" s="5"/>
      <c r="D961" s="5"/>
      <c r="E961" s="5"/>
    </row>
    <row r="962">
      <c r="B962" s="5"/>
      <c r="C962" s="5"/>
      <c r="D962" s="5"/>
      <c r="E962" s="5"/>
    </row>
    <row r="963">
      <c r="B963" s="5"/>
      <c r="C963" s="5"/>
      <c r="D963" s="5"/>
      <c r="E963" s="5"/>
    </row>
    <row r="964">
      <c r="B964" s="5"/>
      <c r="C964" s="5"/>
      <c r="D964" s="5"/>
      <c r="E964" s="5"/>
    </row>
    <row r="965">
      <c r="B965" s="5"/>
      <c r="C965" s="5"/>
      <c r="D965" s="5"/>
      <c r="E965" s="5"/>
    </row>
    <row r="966">
      <c r="B966" s="5"/>
      <c r="C966" s="5"/>
      <c r="D966" s="5"/>
      <c r="E966" s="5"/>
    </row>
    <row r="967">
      <c r="B967" s="5"/>
      <c r="C967" s="5"/>
      <c r="D967" s="5"/>
      <c r="E967" s="5"/>
    </row>
    <row r="968">
      <c r="B968" s="5"/>
      <c r="C968" s="5"/>
      <c r="D968" s="5"/>
      <c r="E968" s="5"/>
    </row>
    <row r="969">
      <c r="B969" s="5"/>
      <c r="C969" s="5"/>
      <c r="D969" s="5"/>
      <c r="E969" s="5"/>
    </row>
    <row r="970">
      <c r="B970" s="5"/>
      <c r="C970" s="5"/>
      <c r="D970" s="5"/>
      <c r="E970" s="5"/>
    </row>
    <row r="971">
      <c r="B971" s="5"/>
      <c r="C971" s="5"/>
      <c r="D971" s="5"/>
      <c r="E971" s="5"/>
    </row>
    <row r="972">
      <c r="B972" s="5"/>
      <c r="C972" s="5"/>
      <c r="D972" s="5"/>
      <c r="E972" s="5"/>
    </row>
    <row r="973">
      <c r="B973" s="5"/>
      <c r="C973" s="5"/>
      <c r="D973" s="5"/>
      <c r="E973" s="5"/>
    </row>
    <row r="974">
      <c r="B974" s="5"/>
      <c r="C974" s="5"/>
      <c r="D974" s="5"/>
      <c r="E974" s="5"/>
    </row>
    <row r="975">
      <c r="B975" s="5"/>
      <c r="C975" s="5"/>
      <c r="D975" s="5"/>
      <c r="E975" s="5"/>
    </row>
    <row r="976">
      <c r="B976" s="5"/>
      <c r="C976" s="5"/>
      <c r="D976" s="5"/>
      <c r="E976" s="5"/>
    </row>
    <row r="977">
      <c r="B977" s="5"/>
      <c r="C977" s="5"/>
      <c r="D977" s="5"/>
      <c r="E977" s="5"/>
    </row>
    <row r="978">
      <c r="B978" s="5"/>
      <c r="C978" s="5"/>
      <c r="D978" s="5"/>
      <c r="E978" s="5"/>
    </row>
    <row r="979">
      <c r="B979" s="5"/>
      <c r="C979" s="5"/>
      <c r="D979" s="5"/>
      <c r="E979" s="5"/>
    </row>
    <row r="980">
      <c r="B980" s="5"/>
      <c r="C980" s="5"/>
      <c r="D980" s="5"/>
      <c r="E980" s="5"/>
    </row>
    <row r="981">
      <c r="B981" s="5"/>
      <c r="C981" s="5"/>
      <c r="D981" s="5"/>
      <c r="E981" s="5"/>
    </row>
    <row r="982">
      <c r="B982" s="5"/>
      <c r="C982" s="5"/>
      <c r="D982" s="5"/>
      <c r="E982" s="5"/>
    </row>
    <row r="983">
      <c r="B983" s="5"/>
      <c r="C983" s="5"/>
      <c r="D983" s="5"/>
      <c r="E983" s="5"/>
    </row>
    <row r="984">
      <c r="B984" s="5"/>
      <c r="C984" s="5"/>
      <c r="D984" s="5"/>
      <c r="E984" s="5"/>
    </row>
    <row r="985">
      <c r="B985" s="5"/>
      <c r="C985" s="5"/>
      <c r="D985" s="5"/>
      <c r="E985" s="5"/>
    </row>
    <row r="986">
      <c r="B986" s="5"/>
      <c r="C986" s="5"/>
      <c r="D986" s="5"/>
      <c r="E986" s="5"/>
    </row>
    <row r="987">
      <c r="B987" s="5"/>
      <c r="C987" s="5"/>
      <c r="D987" s="5"/>
      <c r="E987" s="5"/>
    </row>
    <row r="988">
      <c r="B988" s="5"/>
      <c r="C988" s="5"/>
      <c r="D988" s="5"/>
      <c r="E988" s="5"/>
    </row>
    <row r="989">
      <c r="B989" s="5"/>
      <c r="C989" s="5"/>
      <c r="D989" s="5"/>
      <c r="E989" s="5"/>
    </row>
    <row r="990">
      <c r="B990" s="5"/>
      <c r="C990" s="5"/>
      <c r="D990" s="5"/>
      <c r="E990" s="5"/>
    </row>
    <row r="991">
      <c r="B991" s="5"/>
      <c r="C991" s="5"/>
      <c r="D991" s="5"/>
      <c r="E991" s="5"/>
    </row>
    <row r="992">
      <c r="B992" s="5"/>
      <c r="C992" s="5"/>
      <c r="D992" s="5"/>
      <c r="E992" s="5"/>
    </row>
    <row r="993">
      <c r="B993" s="5"/>
      <c r="C993" s="5"/>
      <c r="D993" s="5"/>
      <c r="E993" s="5"/>
    </row>
    <row r="994">
      <c r="B994" s="5"/>
      <c r="C994" s="5"/>
      <c r="D994" s="5"/>
      <c r="E994" s="5"/>
    </row>
    <row r="995">
      <c r="B995" s="5"/>
      <c r="C995" s="5"/>
      <c r="D995" s="5"/>
      <c r="E995" s="5"/>
    </row>
    <row r="996">
      <c r="B996" s="5"/>
      <c r="C996" s="5"/>
      <c r="D996" s="5"/>
      <c r="E996" s="5"/>
    </row>
    <row r="997">
      <c r="B997" s="5"/>
      <c r="C997" s="5"/>
      <c r="D997" s="5"/>
      <c r="E997" s="5"/>
    </row>
    <row r="998">
      <c r="B998" s="5"/>
      <c r="C998" s="5"/>
      <c r="D998" s="5"/>
      <c r="E998" s="5"/>
    </row>
    <row r="999">
      <c r="B999" s="5"/>
      <c r="C999" s="5"/>
      <c r="D999" s="5"/>
      <c r="E999" s="5"/>
    </row>
    <row r="1000">
      <c r="B1000" s="5"/>
      <c r="C1000" s="5"/>
      <c r="D1000" s="5"/>
      <c r="E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9.75"/>
  </cols>
  <sheetData>
    <row r="1">
      <c r="A1" s="3" t="s">
        <v>37</v>
      </c>
      <c r="B1" s="3" t="s">
        <v>59</v>
      </c>
      <c r="C1" s="3" t="s">
        <v>1</v>
      </c>
    </row>
    <row r="2">
      <c r="A2" s="3">
        <v>1.0</v>
      </c>
      <c r="B2" s="3" t="s">
        <v>60</v>
      </c>
      <c r="C2" s="3" t="s">
        <v>61</v>
      </c>
    </row>
    <row r="3">
      <c r="A3" s="3">
        <v>2.0</v>
      </c>
      <c r="B3" s="3" t="s">
        <v>62</v>
      </c>
      <c r="C3" s="3" t="s">
        <v>63</v>
      </c>
    </row>
    <row r="4">
      <c r="A4" s="3">
        <v>3.0</v>
      </c>
      <c r="B4" s="3" t="s">
        <v>64</v>
      </c>
      <c r="C4" s="3" t="s">
        <v>65</v>
      </c>
    </row>
    <row r="5">
      <c r="A5" s="3">
        <v>4.0</v>
      </c>
      <c r="B5" s="3" t="s">
        <v>66</v>
      </c>
      <c r="C5" s="3" t="s">
        <v>67</v>
      </c>
    </row>
    <row r="6">
      <c r="A6" s="3">
        <v>5.0</v>
      </c>
      <c r="B6" s="3" t="s">
        <v>68</v>
      </c>
      <c r="C6" s="3" t="s">
        <v>69</v>
      </c>
    </row>
    <row r="7">
      <c r="A7" s="3">
        <v>6.0</v>
      </c>
      <c r="B7" s="3" t="s">
        <v>70</v>
      </c>
      <c r="C7" s="3" t="s">
        <v>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26.63"/>
    <col customWidth="1" min="3" max="3" width="28.38"/>
    <col customWidth="1" min="4" max="4" width="6.75"/>
    <col customWidth="1" min="5" max="5" width="8.25"/>
    <col customWidth="1" min="6" max="6" width="15.5"/>
    <col customWidth="1" min="7" max="7" width="10.63"/>
    <col customWidth="1" min="8" max="8" width="16.88"/>
    <col customWidth="1" min="9" max="9" width="7.75"/>
    <col customWidth="1" min="10" max="10" width="13.63"/>
    <col customWidth="1" min="11" max="11" width="37.63"/>
    <col customWidth="1" min="12" max="12" width="10.0"/>
    <col customWidth="1" min="13" max="13" width="7.75"/>
  </cols>
  <sheetData>
    <row r="1" ht="27.0" customHeight="1">
      <c r="A1" s="6" t="s">
        <v>37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3</v>
      </c>
      <c r="H1" s="6" t="s">
        <v>77</v>
      </c>
      <c r="I1" s="7" t="s">
        <v>78</v>
      </c>
      <c r="J1" s="8" t="s">
        <v>79</v>
      </c>
      <c r="K1" s="7" t="s">
        <v>80</v>
      </c>
      <c r="L1" s="7" t="s">
        <v>81</v>
      </c>
      <c r="M1" s="9" t="s">
        <v>82</v>
      </c>
      <c r="N1" s="5"/>
      <c r="O1" s="5"/>
      <c r="P1" s="5"/>
      <c r="Q1" s="5"/>
      <c r="R1" s="5"/>
      <c r="S1" s="5"/>
      <c r="T1" s="5"/>
    </row>
    <row r="2">
      <c r="A2" s="10" t="s">
        <v>83</v>
      </c>
      <c r="B2" s="11" t="s">
        <v>84</v>
      </c>
      <c r="C2" s="12" t="s">
        <v>85</v>
      </c>
      <c r="D2" s="11" t="s">
        <v>86</v>
      </c>
      <c r="E2" s="11"/>
      <c r="F2" s="11" t="s">
        <v>87</v>
      </c>
      <c r="G2" s="11"/>
      <c r="H2" s="11" t="s">
        <v>88</v>
      </c>
      <c r="I2" s="13"/>
      <c r="J2" s="14"/>
      <c r="K2" s="13"/>
      <c r="L2" s="15" t="s">
        <v>89</v>
      </c>
      <c r="M2" s="16"/>
      <c r="N2" s="17"/>
      <c r="O2" s="17"/>
      <c r="P2" s="17"/>
      <c r="Q2" s="17"/>
      <c r="R2" s="17"/>
      <c r="S2" s="17"/>
      <c r="T2" s="17"/>
    </row>
    <row r="3">
      <c r="A3" s="10" t="s">
        <v>90</v>
      </c>
      <c r="B3" s="15" t="s">
        <v>91</v>
      </c>
      <c r="C3" s="12" t="s">
        <v>92</v>
      </c>
      <c r="D3" s="15" t="s">
        <v>86</v>
      </c>
      <c r="E3" s="15"/>
      <c r="F3" s="15" t="s">
        <v>61</v>
      </c>
      <c r="G3" s="15"/>
      <c r="H3" s="15" t="s">
        <v>93</v>
      </c>
      <c r="I3" s="18"/>
      <c r="J3" s="19"/>
      <c r="K3" s="18"/>
      <c r="L3" s="15" t="s">
        <v>89</v>
      </c>
      <c r="M3" s="20"/>
      <c r="N3" s="5"/>
      <c r="O3" s="5"/>
      <c r="P3" s="5"/>
      <c r="Q3" s="5"/>
      <c r="R3" s="5"/>
      <c r="S3" s="5"/>
      <c r="T3" s="5"/>
    </row>
    <row r="4">
      <c r="A4" s="10" t="s">
        <v>94</v>
      </c>
      <c r="B4" s="11" t="s">
        <v>95</v>
      </c>
      <c r="C4" s="21" t="s">
        <v>96</v>
      </c>
      <c r="D4" s="11" t="s">
        <v>86</v>
      </c>
      <c r="E4" s="11"/>
      <c r="F4" s="11" t="s">
        <v>87</v>
      </c>
      <c r="G4" s="11"/>
      <c r="H4" s="11" t="s">
        <v>97</v>
      </c>
      <c r="I4" s="15"/>
      <c r="J4" s="14"/>
      <c r="K4" s="18"/>
      <c r="L4" s="15" t="s">
        <v>89</v>
      </c>
      <c r="M4" s="20"/>
      <c r="N4" s="5"/>
      <c r="O4" s="5"/>
      <c r="P4" s="5"/>
      <c r="Q4" s="5"/>
      <c r="R4" s="5"/>
      <c r="S4" s="5"/>
      <c r="T4" s="5"/>
    </row>
    <row r="5">
      <c r="A5" s="10" t="s">
        <v>98</v>
      </c>
      <c r="B5" s="11" t="s">
        <v>99</v>
      </c>
      <c r="C5" s="21" t="s">
        <v>100</v>
      </c>
      <c r="D5" s="11" t="s">
        <v>86</v>
      </c>
      <c r="E5" s="11"/>
      <c r="F5" s="11"/>
      <c r="G5" s="11"/>
      <c r="H5" s="11"/>
      <c r="I5" s="15"/>
      <c r="J5" s="14"/>
      <c r="K5" s="18"/>
      <c r="L5" s="15" t="s">
        <v>89</v>
      </c>
      <c r="M5" s="20"/>
      <c r="N5" s="5"/>
      <c r="O5" s="5"/>
      <c r="P5" s="5"/>
      <c r="Q5" s="5"/>
      <c r="R5" s="5"/>
      <c r="S5" s="5"/>
      <c r="T5" s="5"/>
    </row>
    <row r="6">
      <c r="A6" s="10" t="s">
        <v>101</v>
      </c>
      <c r="B6" s="11" t="s">
        <v>102</v>
      </c>
      <c r="C6" s="21" t="s">
        <v>103</v>
      </c>
      <c r="D6" s="11" t="s">
        <v>86</v>
      </c>
      <c r="E6" s="11"/>
      <c r="F6" s="11"/>
      <c r="G6" s="11"/>
      <c r="H6" s="11"/>
      <c r="I6" s="15"/>
      <c r="J6" s="14"/>
      <c r="K6" s="18"/>
      <c r="L6" s="15" t="s">
        <v>89</v>
      </c>
      <c r="M6" s="20"/>
      <c r="N6" s="5"/>
      <c r="O6" s="5"/>
      <c r="P6" s="5"/>
      <c r="Q6" s="5"/>
      <c r="R6" s="5"/>
      <c r="S6" s="5"/>
      <c r="T6" s="5"/>
    </row>
    <row r="7">
      <c r="A7" s="10" t="s">
        <v>104</v>
      </c>
      <c r="B7" s="11" t="s">
        <v>105</v>
      </c>
      <c r="C7" s="21" t="s">
        <v>106</v>
      </c>
      <c r="D7" s="11" t="s">
        <v>86</v>
      </c>
      <c r="E7" s="11"/>
      <c r="F7" s="11"/>
      <c r="G7" s="11"/>
      <c r="H7" s="11"/>
      <c r="I7" s="15"/>
      <c r="J7" s="14"/>
      <c r="K7" s="18"/>
      <c r="L7" s="15" t="s">
        <v>89</v>
      </c>
      <c r="M7" s="20"/>
      <c r="N7" s="5"/>
      <c r="O7" s="5"/>
      <c r="P7" s="5"/>
      <c r="Q7" s="5"/>
      <c r="R7" s="5"/>
      <c r="S7" s="5"/>
      <c r="T7" s="5"/>
    </row>
    <row r="8">
      <c r="A8" s="10" t="s">
        <v>107</v>
      </c>
      <c r="B8" s="11" t="s">
        <v>108</v>
      </c>
      <c r="C8" s="21" t="s">
        <v>106</v>
      </c>
      <c r="D8" s="11" t="s">
        <v>86</v>
      </c>
      <c r="E8" s="11"/>
      <c r="F8" s="11"/>
      <c r="G8" s="11"/>
      <c r="H8" s="11"/>
      <c r="I8" s="15"/>
      <c r="J8" s="22"/>
      <c r="K8" s="18"/>
      <c r="L8" s="15" t="s">
        <v>89</v>
      </c>
      <c r="M8" s="20"/>
      <c r="N8" s="5"/>
      <c r="O8" s="5"/>
      <c r="P8" s="5"/>
      <c r="Q8" s="5"/>
      <c r="R8" s="5"/>
      <c r="S8" s="5"/>
      <c r="T8" s="5"/>
    </row>
    <row r="9">
      <c r="A9" s="10" t="s">
        <v>109</v>
      </c>
      <c r="B9" s="11" t="s">
        <v>110</v>
      </c>
      <c r="C9" s="21" t="s">
        <v>106</v>
      </c>
      <c r="D9" s="11" t="s">
        <v>86</v>
      </c>
      <c r="E9" s="11"/>
      <c r="F9" s="11"/>
      <c r="G9" s="11"/>
      <c r="H9" s="11"/>
      <c r="I9" s="15"/>
      <c r="J9" s="22"/>
      <c r="K9" s="18"/>
      <c r="L9" s="15" t="s">
        <v>89</v>
      </c>
      <c r="M9" s="20"/>
      <c r="N9" s="5"/>
      <c r="O9" s="5"/>
      <c r="P9" s="5"/>
      <c r="Q9" s="5"/>
      <c r="R9" s="5"/>
      <c r="S9" s="5"/>
      <c r="T9" s="5"/>
    </row>
    <row r="10">
      <c r="A10" s="10" t="s">
        <v>111</v>
      </c>
      <c r="B10" s="11" t="s">
        <v>112</v>
      </c>
      <c r="C10" s="21" t="s">
        <v>113</v>
      </c>
      <c r="D10" s="11" t="s">
        <v>86</v>
      </c>
      <c r="E10" s="11"/>
      <c r="F10" s="11"/>
      <c r="G10" s="11"/>
      <c r="H10" s="11"/>
      <c r="I10" s="15"/>
      <c r="J10" s="22"/>
      <c r="K10" s="18"/>
      <c r="L10" s="15" t="s">
        <v>89</v>
      </c>
      <c r="M10" s="20"/>
      <c r="N10" s="5"/>
      <c r="O10" s="5"/>
      <c r="P10" s="5"/>
      <c r="Q10" s="5"/>
      <c r="R10" s="5"/>
      <c r="S10" s="5"/>
      <c r="T10" s="5"/>
    </row>
    <row r="11">
      <c r="A11" s="11" t="s">
        <v>114</v>
      </c>
      <c r="B11" s="11" t="s">
        <v>84</v>
      </c>
      <c r="C11" s="21" t="s">
        <v>115</v>
      </c>
      <c r="D11" s="11" t="s">
        <v>116</v>
      </c>
      <c r="E11" s="11" t="s">
        <v>83</v>
      </c>
      <c r="F11" s="11" t="s">
        <v>87</v>
      </c>
      <c r="G11" s="11" t="s">
        <v>11</v>
      </c>
      <c r="H11" s="11" t="s">
        <v>88</v>
      </c>
      <c r="I11" s="15" t="s">
        <v>117</v>
      </c>
      <c r="J11" s="22">
        <f>3920000+1710000</f>
        <v>5630000</v>
      </c>
      <c r="K11" s="18"/>
      <c r="L11" s="15" t="s">
        <v>89</v>
      </c>
      <c r="M11" s="20"/>
      <c r="N11" s="5"/>
      <c r="O11" s="5"/>
      <c r="P11" s="5"/>
      <c r="Q11" s="5"/>
      <c r="R11" s="5"/>
      <c r="S11" s="5"/>
      <c r="T11" s="5"/>
    </row>
    <row r="12">
      <c r="A12" s="11" t="s">
        <v>118</v>
      </c>
      <c r="B12" s="11" t="s">
        <v>84</v>
      </c>
      <c r="C12" s="23" t="s">
        <v>119</v>
      </c>
      <c r="D12" s="11" t="s">
        <v>116</v>
      </c>
      <c r="E12" s="11" t="s">
        <v>83</v>
      </c>
      <c r="F12" s="11" t="s">
        <v>87</v>
      </c>
      <c r="G12" s="11" t="s">
        <v>31</v>
      </c>
      <c r="H12" s="11" t="s">
        <v>88</v>
      </c>
      <c r="I12" s="15" t="s">
        <v>117</v>
      </c>
      <c r="J12" s="19">
        <f>258000+150000</f>
        <v>408000</v>
      </c>
      <c r="K12" s="18"/>
      <c r="L12" s="15" t="s">
        <v>89</v>
      </c>
      <c r="M12" s="20"/>
      <c r="N12" s="5"/>
      <c r="O12" s="5"/>
      <c r="P12" s="5"/>
      <c r="Q12" s="5"/>
      <c r="R12" s="5"/>
      <c r="S12" s="5"/>
      <c r="T12" s="5"/>
    </row>
    <row r="13">
      <c r="A13" s="11" t="s">
        <v>120</v>
      </c>
      <c r="B13" s="11" t="s">
        <v>84</v>
      </c>
      <c r="C13" s="23" t="s">
        <v>121</v>
      </c>
      <c r="D13" s="11" t="s">
        <v>116</v>
      </c>
      <c r="E13" s="11" t="s">
        <v>83</v>
      </c>
      <c r="F13" s="11" t="s">
        <v>87</v>
      </c>
      <c r="G13" s="11" t="s">
        <v>122</v>
      </c>
      <c r="H13" s="11" t="s">
        <v>88</v>
      </c>
      <c r="I13" s="15" t="s">
        <v>117</v>
      </c>
      <c r="J13" s="14">
        <f>9990000+1425000+3500000</f>
        <v>14915000</v>
      </c>
      <c r="K13" s="18"/>
      <c r="L13" s="15" t="s">
        <v>89</v>
      </c>
      <c r="M13" s="20"/>
      <c r="N13" s="5"/>
      <c r="O13" s="5"/>
      <c r="P13" s="5"/>
      <c r="Q13" s="5"/>
      <c r="R13" s="5"/>
      <c r="S13" s="5"/>
      <c r="T13" s="5"/>
    </row>
    <row r="14">
      <c r="A14" s="11" t="s">
        <v>123</v>
      </c>
      <c r="B14" s="11" t="s">
        <v>84</v>
      </c>
      <c r="C14" s="21" t="s">
        <v>124</v>
      </c>
      <c r="D14" s="11" t="s">
        <v>116</v>
      </c>
      <c r="E14" s="11" t="s">
        <v>83</v>
      </c>
      <c r="F14" s="11" t="s">
        <v>87</v>
      </c>
      <c r="G14" s="11" t="s">
        <v>122</v>
      </c>
      <c r="H14" s="11" t="s">
        <v>88</v>
      </c>
      <c r="I14" s="15"/>
      <c r="J14" s="22">
        <v>3165000.0</v>
      </c>
      <c r="K14" s="18"/>
      <c r="L14" s="15" t="s">
        <v>89</v>
      </c>
      <c r="M14" s="20"/>
      <c r="N14" s="5"/>
      <c r="O14" s="5"/>
      <c r="P14" s="5"/>
      <c r="Q14" s="5"/>
      <c r="R14" s="5"/>
      <c r="S14" s="5"/>
      <c r="T14" s="5"/>
    </row>
    <row r="15">
      <c r="A15" s="11" t="s">
        <v>125</v>
      </c>
      <c r="B15" s="11" t="s">
        <v>84</v>
      </c>
      <c r="C15" s="23" t="s">
        <v>126</v>
      </c>
      <c r="D15" s="11" t="s">
        <v>116</v>
      </c>
      <c r="E15" s="11" t="s">
        <v>83</v>
      </c>
      <c r="F15" s="11" t="s">
        <v>87</v>
      </c>
      <c r="G15" s="11" t="s">
        <v>127</v>
      </c>
      <c r="H15" s="11" t="s">
        <v>88</v>
      </c>
      <c r="I15" s="15" t="s">
        <v>128</v>
      </c>
      <c r="J15" s="14">
        <f>3300000+1425000</f>
        <v>4725000</v>
      </c>
      <c r="K15" s="18"/>
      <c r="L15" s="15" t="s">
        <v>89</v>
      </c>
      <c r="M15" s="20"/>
      <c r="N15" s="5"/>
      <c r="O15" s="5"/>
      <c r="P15" s="5"/>
      <c r="Q15" s="5"/>
      <c r="R15" s="5"/>
      <c r="S15" s="5"/>
      <c r="T15" s="5"/>
    </row>
    <row r="16">
      <c r="A16" s="11" t="s">
        <v>129</v>
      </c>
      <c r="B16" s="11" t="s">
        <v>84</v>
      </c>
      <c r="C16" s="23" t="s">
        <v>130</v>
      </c>
      <c r="D16" s="11" t="s">
        <v>116</v>
      </c>
      <c r="E16" s="11" t="s">
        <v>83</v>
      </c>
      <c r="F16" s="11" t="s">
        <v>87</v>
      </c>
      <c r="G16" s="11" t="s">
        <v>127</v>
      </c>
      <c r="H16" s="11" t="s">
        <v>88</v>
      </c>
      <c r="I16" s="18"/>
      <c r="J16" s="14">
        <f>330000+855000</f>
        <v>1185000</v>
      </c>
      <c r="K16" s="18"/>
      <c r="L16" s="15" t="s">
        <v>89</v>
      </c>
      <c r="M16" s="20"/>
      <c r="N16" s="5"/>
      <c r="O16" s="5"/>
      <c r="P16" s="5"/>
      <c r="Q16" s="5"/>
      <c r="R16" s="5"/>
      <c r="S16" s="5"/>
      <c r="T16" s="5"/>
    </row>
    <row r="17">
      <c r="A17" s="11" t="s">
        <v>131</v>
      </c>
      <c r="B17" s="11" t="s">
        <v>84</v>
      </c>
      <c r="C17" s="23" t="s">
        <v>132</v>
      </c>
      <c r="D17" s="11" t="s">
        <v>116</v>
      </c>
      <c r="E17" s="11" t="s">
        <v>83</v>
      </c>
      <c r="F17" s="11" t="s">
        <v>87</v>
      </c>
      <c r="G17" s="11" t="s">
        <v>17</v>
      </c>
      <c r="H17" s="11" t="s">
        <v>88</v>
      </c>
      <c r="I17" s="18"/>
      <c r="J17" s="14">
        <f>7430000+1710000</f>
        <v>9140000</v>
      </c>
      <c r="K17" s="18"/>
      <c r="L17" s="15" t="s">
        <v>89</v>
      </c>
      <c r="M17" s="20"/>
      <c r="N17" s="5"/>
      <c r="O17" s="5"/>
      <c r="P17" s="5"/>
      <c r="Q17" s="5"/>
      <c r="R17" s="5"/>
      <c r="S17" s="5"/>
      <c r="T17" s="5"/>
    </row>
    <row r="18">
      <c r="A18" s="11" t="s">
        <v>133</v>
      </c>
      <c r="B18" s="11" t="s">
        <v>84</v>
      </c>
      <c r="C18" s="23" t="s">
        <v>134</v>
      </c>
      <c r="D18" s="11" t="s">
        <v>116</v>
      </c>
      <c r="E18" s="11" t="s">
        <v>83</v>
      </c>
      <c r="F18" s="11" t="s">
        <v>87</v>
      </c>
      <c r="G18" s="11" t="s">
        <v>11</v>
      </c>
      <c r="H18" s="11" t="s">
        <v>88</v>
      </c>
      <c r="I18" s="18"/>
      <c r="J18" s="24">
        <f>22680000+17100000</f>
        <v>39780000</v>
      </c>
      <c r="K18" s="18"/>
      <c r="L18" s="15" t="s">
        <v>89</v>
      </c>
      <c r="M18" s="20"/>
      <c r="N18" s="5"/>
      <c r="O18" s="5"/>
      <c r="P18" s="5"/>
      <c r="Q18" s="5"/>
      <c r="R18" s="5"/>
      <c r="S18" s="5"/>
      <c r="T18" s="5"/>
    </row>
    <row r="19">
      <c r="A19" s="11" t="s">
        <v>135</v>
      </c>
      <c r="B19" s="11" t="s">
        <v>84</v>
      </c>
      <c r="C19" s="23" t="s">
        <v>136</v>
      </c>
      <c r="D19" s="11" t="s">
        <v>116</v>
      </c>
      <c r="E19" s="11" t="s">
        <v>83</v>
      </c>
      <c r="F19" s="11" t="s">
        <v>87</v>
      </c>
      <c r="G19" s="11" t="s">
        <v>11</v>
      </c>
      <c r="H19" s="11" t="s">
        <v>88</v>
      </c>
      <c r="I19" s="18"/>
      <c r="J19" s="24">
        <f>2070000+1710000</f>
        <v>3780000</v>
      </c>
      <c r="K19" s="18"/>
      <c r="L19" s="15" t="s">
        <v>89</v>
      </c>
      <c r="M19" s="20"/>
      <c r="N19" s="5"/>
      <c r="O19" s="5"/>
      <c r="P19" s="5"/>
      <c r="Q19" s="5"/>
      <c r="R19" s="5"/>
      <c r="S19" s="5"/>
      <c r="T19" s="5"/>
    </row>
    <row r="20">
      <c r="A20" s="11" t="s">
        <v>137</v>
      </c>
      <c r="B20" s="11" t="s">
        <v>84</v>
      </c>
      <c r="C20" s="21" t="s">
        <v>138</v>
      </c>
      <c r="D20" s="11" t="s">
        <v>116</v>
      </c>
      <c r="E20" s="11" t="s">
        <v>83</v>
      </c>
      <c r="F20" s="11" t="s">
        <v>87</v>
      </c>
      <c r="G20" s="11" t="s">
        <v>11</v>
      </c>
      <c r="H20" s="11" t="s">
        <v>88</v>
      </c>
      <c r="I20" s="18"/>
      <c r="J20" s="24">
        <f>2460000+1425000</f>
        <v>3885000</v>
      </c>
      <c r="K20" s="18"/>
      <c r="L20" s="15" t="s">
        <v>89</v>
      </c>
      <c r="M20" s="20"/>
      <c r="N20" s="5"/>
      <c r="O20" s="5"/>
      <c r="P20" s="5"/>
      <c r="Q20" s="5"/>
      <c r="R20" s="5"/>
      <c r="S20" s="5"/>
      <c r="T20" s="5"/>
    </row>
    <row r="21">
      <c r="A21" s="11" t="s">
        <v>139</v>
      </c>
      <c r="B21" s="11" t="s">
        <v>84</v>
      </c>
      <c r="C21" s="21" t="s">
        <v>140</v>
      </c>
      <c r="D21" s="11" t="s">
        <v>116</v>
      </c>
      <c r="E21" s="11" t="s">
        <v>83</v>
      </c>
      <c r="F21" s="11" t="s">
        <v>87</v>
      </c>
      <c r="G21" s="11" t="s">
        <v>11</v>
      </c>
      <c r="H21" s="11" t="s">
        <v>88</v>
      </c>
      <c r="I21" s="18"/>
      <c r="J21" s="24">
        <f>764000+855000</f>
        <v>1619000</v>
      </c>
      <c r="K21" s="18"/>
      <c r="L21" s="15" t="s">
        <v>89</v>
      </c>
      <c r="M21" s="20"/>
      <c r="N21" s="5"/>
      <c r="O21" s="5"/>
      <c r="P21" s="5"/>
      <c r="Q21" s="5"/>
      <c r="R21" s="5"/>
      <c r="S21" s="5"/>
      <c r="T21" s="5"/>
    </row>
    <row r="22">
      <c r="A22" s="11" t="s">
        <v>141</v>
      </c>
      <c r="B22" s="11" t="s">
        <v>84</v>
      </c>
      <c r="C22" s="21" t="s">
        <v>142</v>
      </c>
      <c r="D22" s="11" t="s">
        <v>116</v>
      </c>
      <c r="E22" s="11" t="s">
        <v>83</v>
      </c>
      <c r="F22" s="11" t="s">
        <v>87</v>
      </c>
      <c r="G22" s="11" t="s">
        <v>11</v>
      </c>
      <c r="H22" s="11" t="s">
        <v>88</v>
      </c>
      <c r="I22" s="18"/>
      <c r="J22" s="24">
        <f>240000+570000</f>
        <v>810000</v>
      </c>
      <c r="K22" s="18"/>
      <c r="L22" s="15" t="s">
        <v>89</v>
      </c>
      <c r="M22" s="20"/>
      <c r="N22" s="5"/>
      <c r="O22" s="5"/>
      <c r="P22" s="5"/>
      <c r="Q22" s="5"/>
      <c r="R22" s="5"/>
      <c r="S22" s="5"/>
      <c r="T22" s="5"/>
    </row>
    <row r="23">
      <c r="A23" s="11" t="s">
        <v>143</v>
      </c>
      <c r="B23" s="11" t="s">
        <v>84</v>
      </c>
      <c r="C23" s="21" t="s">
        <v>144</v>
      </c>
      <c r="D23" s="11" t="s">
        <v>116</v>
      </c>
      <c r="E23" s="11" t="s">
        <v>83</v>
      </c>
      <c r="F23" s="11" t="s">
        <v>87</v>
      </c>
      <c r="G23" s="11" t="s">
        <v>11</v>
      </c>
      <c r="H23" s="11" t="s">
        <v>88</v>
      </c>
      <c r="I23" s="18"/>
      <c r="J23" s="24">
        <f>240000+630000+2010000</f>
        <v>2880000</v>
      </c>
      <c r="K23" s="18"/>
      <c r="L23" s="15" t="s">
        <v>89</v>
      </c>
      <c r="M23" s="20"/>
      <c r="N23" s="5"/>
      <c r="O23" s="5"/>
      <c r="P23" s="5"/>
      <c r="Q23" s="5"/>
      <c r="R23" s="5"/>
      <c r="S23" s="5"/>
      <c r="T23" s="5"/>
    </row>
    <row r="24">
      <c r="A24" s="11" t="s">
        <v>145</v>
      </c>
      <c r="B24" s="11" t="s">
        <v>84</v>
      </c>
      <c r="C24" s="23" t="s">
        <v>146</v>
      </c>
      <c r="D24" s="11" t="s">
        <v>116</v>
      </c>
      <c r="E24" s="11" t="s">
        <v>83</v>
      </c>
      <c r="F24" s="11" t="s">
        <v>87</v>
      </c>
      <c r="G24" s="11" t="s">
        <v>122</v>
      </c>
      <c r="H24" s="11" t="s">
        <v>88</v>
      </c>
      <c r="I24" s="18"/>
      <c r="J24" s="19">
        <v>0.0</v>
      </c>
      <c r="K24" s="18"/>
      <c r="L24" s="15" t="s">
        <v>89</v>
      </c>
      <c r="M24" s="20"/>
      <c r="N24" s="5"/>
      <c r="O24" s="5"/>
      <c r="P24" s="5"/>
      <c r="Q24" s="5"/>
      <c r="R24" s="5"/>
      <c r="S24" s="5"/>
      <c r="T24" s="5"/>
    </row>
    <row r="25">
      <c r="A25" s="11" t="s">
        <v>147</v>
      </c>
      <c r="B25" s="11" t="s">
        <v>84</v>
      </c>
      <c r="C25" s="23" t="s">
        <v>148</v>
      </c>
      <c r="D25" s="11" t="s">
        <v>116</v>
      </c>
      <c r="E25" s="11" t="s">
        <v>83</v>
      </c>
      <c r="F25" s="11" t="s">
        <v>87</v>
      </c>
      <c r="G25" s="11" t="s">
        <v>127</v>
      </c>
      <c r="H25" s="11" t="s">
        <v>88</v>
      </c>
      <c r="I25" s="18"/>
      <c r="J25" s="19">
        <v>0.0</v>
      </c>
      <c r="K25" s="18"/>
      <c r="L25" s="15" t="s">
        <v>89</v>
      </c>
      <c r="M25" s="20"/>
      <c r="N25" s="5"/>
      <c r="O25" s="5"/>
      <c r="P25" s="5"/>
      <c r="Q25" s="5"/>
      <c r="R25" s="5"/>
      <c r="S25" s="5"/>
      <c r="T25" s="5"/>
    </row>
    <row r="26">
      <c r="A26" s="11" t="s">
        <v>149</v>
      </c>
      <c r="B26" s="11" t="s">
        <v>84</v>
      </c>
      <c r="C26" s="23" t="s">
        <v>150</v>
      </c>
      <c r="D26" s="11" t="s">
        <v>116</v>
      </c>
      <c r="E26" s="11" t="s">
        <v>83</v>
      </c>
      <c r="F26" s="11" t="s">
        <v>87</v>
      </c>
      <c r="G26" s="11" t="s">
        <v>122</v>
      </c>
      <c r="H26" s="11" t="s">
        <v>88</v>
      </c>
      <c r="I26" s="18"/>
      <c r="J26" s="19">
        <v>0.0</v>
      </c>
      <c r="K26" s="18"/>
      <c r="L26" s="15" t="s">
        <v>89</v>
      </c>
      <c r="M26" s="20"/>
      <c r="N26" s="5"/>
      <c r="O26" s="5"/>
      <c r="P26" s="5"/>
      <c r="Q26" s="5"/>
      <c r="R26" s="5"/>
      <c r="S26" s="5"/>
      <c r="T26" s="5"/>
    </row>
    <row r="27">
      <c r="A27" s="11" t="s">
        <v>151</v>
      </c>
      <c r="B27" s="11" t="s">
        <v>84</v>
      </c>
      <c r="C27" s="23" t="s">
        <v>152</v>
      </c>
      <c r="D27" s="11" t="s">
        <v>116</v>
      </c>
      <c r="E27" s="11" t="s">
        <v>83</v>
      </c>
      <c r="F27" s="11" t="s">
        <v>87</v>
      </c>
      <c r="G27" s="11" t="s">
        <v>122</v>
      </c>
      <c r="H27" s="11" t="s">
        <v>88</v>
      </c>
      <c r="I27" s="18"/>
      <c r="J27" s="19">
        <v>0.0</v>
      </c>
      <c r="K27" s="18"/>
      <c r="L27" s="15" t="s">
        <v>89</v>
      </c>
      <c r="M27" s="20"/>
      <c r="N27" s="5"/>
      <c r="O27" s="5"/>
      <c r="P27" s="5"/>
      <c r="Q27" s="5"/>
      <c r="R27" s="5"/>
      <c r="S27" s="5"/>
      <c r="T27" s="5"/>
    </row>
    <row r="28">
      <c r="A28" s="11" t="s">
        <v>153</v>
      </c>
      <c r="B28" s="11" t="s">
        <v>84</v>
      </c>
      <c r="C28" s="23" t="s">
        <v>154</v>
      </c>
      <c r="D28" s="11" t="s">
        <v>116</v>
      </c>
      <c r="E28" s="11" t="s">
        <v>83</v>
      </c>
      <c r="F28" s="11" t="s">
        <v>87</v>
      </c>
      <c r="G28" s="11" t="s">
        <v>122</v>
      </c>
      <c r="H28" s="11" t="s">
        <v>88</v>
      </c>
      <c r="I28" s="18"/>
      <c r="J28" s="19">
        <v>0.0</v>
      </c>
      <c r="K28" s="18"/>
      <c r="L28" s="15" t="s">
        <v>89</v>
      </c>
      <c r="M28" s="20"/>
      <c r="N28" s="5"/>
      <c r="O28" s="5"/>
      <c r="P28" s="5"/>
      <c r="Q28" s="5"/>
      <c r="R28" s="5"/>
      <c r="S28" s="5"/>
      <c r="T28" s="5"/>
    </row>
    <row r="29">
      <c r="A29" s="11" t="s">
        <v>155</v>
      </c>
      <c r="B29" s="11" t="s">
        <v>84</v>
      </c>
      <c r="C29" s="23" t="s">
        <v>146</v>
      </c>
      <c r="D29" s="11" t="s">
        <v>116</v>
      </c>
      <c r="E29" s="11" t="s">
        <v>83</v>
      </c>
      <c r="F29" s="11" t="s">
        <v>87</v>
      </c>
      <c r="G29" s="11" t="s">
        <v>122</v>
      </c>
      <c r="H29" s="11" t="s">
        <v>88</v>
      </c>
      <c r="I29" s="18"/>
      <c r="J29" s="19">
        <v>0.0</v>
      </c>
      <c r="K29" s="18"/>
      <c r="L29" s="15" t="s">
        <v>89</v>
      </c>
      <c r="M29" s="20"/>
      <c r="N29" s="5"/>
      <c r="O29" s="5"/>
      <c r="P29" s="5"/>
      <c r="Q29" s="5"/>
      <c r="R29" s="5"/>
      <c r="S29" s="5"/>
      <c r="T29" s="5"/>
    </row>
    <row r="30">
      <c r="A30" s="11" t="s">
        <v>156</v>
      </c>
      <c r="B30" s="11" t="s">
        <v>84</v>
      </c>
      <c r="C30" s="23" t="s">
        <v>157</v>
      </c>
      <c r="D30" s="11" t="s">
        <v>116</v>
      </c>
      <c r="E30" s="11" t="s">
        <v>83</v>
      </c>
      <c r="F30" s="11" t="s">
        <v>87</v>
      </c>
      <c r="G30" s="11" t="s">
        <v>158</v>
      </c>
      <c r="H30" s="11" t="s">
        <v>88</v>
      </c>
      <c r="I30" s="18"/>
      <c r="J30" s="19">
        <v>0.0</v>
      </c>
      <c r="K30" s="18"/>
      <c r="L30" s="15" t="s">
        <v>89</v>
      </c>
      <c r="M30" s="20"/>
      <c r="N30" s="5"/>
      <c r="O30" s="5"/>
      <c r="P30" s="5"/>
      <c r="Q30" s="5"/>
      <c r="R30" s="5"/>
      <c r="S30" s="5"/>
      <c r="T30" s="5"/>
    </row>
    <row r="31">
      <c r="A31" s="11" t="s">
        <v>159</v>
      </c>
      <c r="B31" s="11" t="s">
        <v>84</v>
      </c>
      <c r="C31" s="23" t="s">
        <v>160</v>
      </c>
      <c r="D31" s="11" t="s">
        <v>116</v>
      </c>
      <c r="E31" s="11" t="s">
        <v>83</v>
      </c>
      <c r="F31" s="11" t="s">
        <v>87</v>
      </c>
      <c r="G31" s="11" t="s">
        <v>20</v>
      </c>
      <c r="H31" s="11" t="s">
        <v>88</v>
      </c>
      <c r="I31" s="18"/>
      <c r="J31" s="19">
        <v>0.0</v>
      </c>
      <c r="K31" s="18"/>
      <c r="L31" s="15" t="s">
        <v>89</v>
      </c>
      <c r="M31" s="20"/>
      <c r="N31" s="5"/>
      <c r="O31" s="5"/>
      <c r="P31" s="5"/>
      <c r="Q31" s="5"/>
      <c r="R31" s="5"/>
      <c r="S31" s="5"/>
      <c r="T31" s="5"/>
    </row>
    <row r="32">
      <c r="A32" s="11" t="s">
        <v>161</v>
      </c>
      <c r="B32" s="11" t="s">
        <v>84</v>
      </c>
      <c r="C32" s="23" t="s">
        <v>162</v>
      </c>
      <c r="D32" s="11" t="s">
        <v>116</v>
      </c>
      <c r="E32" s="11" t="s">
        <v>83</v>
      </c>
      <c r="F32" s="11" t="s">
        <v>87</v>
      </c>
      <c r="G32" s="11" t="s">
        <v>127</v>
      </c>
      <c r="H32" s="11" t="s">
        <v>88</v>
      </c>
      <c r="I32" s="18"/>
      <c r="J32" s="19">
        <v>1.2E7</v>
      </c>
      <c r="K32" s="18"/>
      <c r="L32" s="15" t="s">
        <v>89</v>
      </c>
      <c r="M32" s="20"/>
      <c r="N32" s="5"/>
      <c r="O32" s="5"/>
      <c r="P32" s="5"/>
      <c r="Q32" s="5"/>
      <c r="R32" s="5"/>
      <c r="S32" s="5"/>
      <c r="T32" s="5"/>
    </row>
    <row r="33">
      <c r="A33" s="11" t="s">
        <v>163</v>
      </c>
      <c r="B33" s="11" t="s">
        <v>84</v>
      </c>
      <c r="C33" s="21" t="s">
        <v>164</v>
      </c>
      <c r="D33" s="11" t="s">
        <v>116</v>
      </c>
      <c r="E33" s="11" t="s">
        <v>83</v>
      </c>
      <c r="F33" s="11" t="s">
        <v>87</v>
      </c>
      <c r="G33" s="11" t="s">
        <v>127</v>
      </c>
      <c r="H33" s="11" t="s">
        <v>88</v>
      </c>
      <c r="I33" s="15" t="s">
        <v>165</v>
      </c>
      <c r="J33" s="19">
        <v>5000000.0</v>
      </c>
      <c r="K33" s="18"/>
      <c r="L33" s="15" t="s">
        <v>89</v>
      </c>
      <c r="M33" s="20"/>
      <c r="N33" s="5"/>
      <c r="O33" s="5"/>
      <c r="P33" s="5"/>
      <c r="Q33" s="5"/>
      <c r="R33" s="5"/>
      <c r="S33" s="5"/>
      <c r="T33" s="5"/>
    </row>
    <row r="34">
      <c r="A34" s="11" t="s">
        <v>166</v>
      </c>
      <c r="B34" s="11" t="s">
        <v>84</v>
      </c>
      <c r="C34" s="23" t="s">
        <v>167</v>
      </c>
      <c r="D34" s="11" t="s">
        <v>116</v>
      </c>
      <c r="E34" s="11" t="s">
        <v>83</v>
      </c>
      <c r="F34" s="11" t="s">
        <v>87</v>
      </c>
      <c r="G34" s="11" t="s">
        <v>17</v>
      </c>
      <c r="H34" s="11" t="s">
        <v>88</v>
      </c>
      <c r="I34" s="18"/>
      <c r="J34" s="19">
        <v>4000000.0</v>
      </c>
      <c r="K34" s="18"/>
      <c r="L34" s="15" t="s">
        <v>89</v>
      </c>
      <c r="M34" s="20"/>
      <c r="N34" s="5"/>
      <c r="O34" s="5"/>
      <c r="P34" s="5"/>
      <c r="Q34" s="5"/>
      <c r="R34" s="5"/>
      <c r="S34" s="5"/>
      <c r="T34" s="5"/>
    </row>
    <row r="35">
      <c r="A35" s="11" t="s">
        <v>168</v>
      </c>
      <c r="B35" s="11" t="s">
        <v>84</v>
      </c>
      <c r="C35" s="21" t="s">
        <v>169</v>
      </c>
      <c r="D35" s="11" t="s">
        <v>116</v>
      </c>
      <c r="E35" s="11" t="s">
        <v>83</v>
      </c>
      <c r="F35" s="11" t="s">
        <v>87</v>
      </c>
      <c r="G35" s="11" t="s">
        <v>11</v>
      </c>
      <c r="H35" s="11" t="s">
        <v>88</v>
      </c>
      <c r="I35" s="15" t="s">
        <v>128</v>
      </c>
      <c r="J35" s="19">
        <v>0.0</v>
      </c>
      <c r="K35" s="18"/>
      <c r="L35" s="15" t="s">
        <v>89</v>
      </c>
      <c r="M35" s="20"/>
      <c r="N35" s="5"/>
      <c r="O35" s="5"/>
      <c r="P35" s="5"/>
      <c r="Q35" s="5"/>
      <c r="R35" s="5"/>
      <c r="S35" s="5"/>
      <c r="T35" s="5"/>
    </row>
    <row r="36">
      <c r="A36" s="11" t="s">
        <v>170</v>
      </c>
      <c r="B36" s="11" t="s">
        <v>84</v>
      </c>
      <c r="C36" s="23" t="s">
        <v>171</v>
      </c>
      <c r="D36" s="11" t="s">
        <v>116</v>
      </c>
      <c r="E36" s="11" t="s">
        <v>83</v>
      </c>
      <c r="F36" s="11" t="s">
        <v>87</v>
      </c>
      <c r="G36" s="11" t="s">
        <v>17</v>
      </c>
      <c r="H36" s="11" t="s">
        <v>88</v>
      </c>
      <c r="I36" s="18"/>
      <c r="J36" s="24"/>
      <c r="K36" s="18"/>
      <c r="L36" s="15" t="s">
        <v>89</v>
      </c>
      <c r="M36" s="20"/>
      <c r="N36" s="5"/>
      <c r="O36" s="5"/>
      <c r="P36" s="5"/>
      <c r="Q36" s="5"/>
      <c r="R36" s="5"/>
      <c r="S36" s="5"/>
      <c r="T36" s="5"/>
    </row>
    <row r="37">
      <c r="A37" s="11" t="s">
        <v>172</v>
      </c>
      <c r="B37" s="11" t="s">
        <v>84</v>
      </c>
      <c r="C37" s="25" t="s">
        <v>173</v>
      </c>
      <c r="D37" s="11" t="s">
        <v>116</v>
      </c>
      <c r="E37" s="11" t="s">
        <v>83</v>
      </c>
      <c r="F37" s="11" t="s">
        <v>87</v>
      </c>
      <c r="G37" s="11" t="s">
        <v>122</v>
      </c>
      <c r="H37" s="11" t="s">
        <v>88</v>
      </c>
      <c r="I37" s="18"/>
      <c r="J37" s="24">
        <f>468000+855000</f>
        <v>1323000</v>
      </c>
      <c r="K37" s="18"/>
      <c r="L37" s="15" t="s">
        <v>89</v>
      </c>
      <c r="M37" s="20"/>
      <c r="N37" s="5"/>
      <c r="O37" s="5"/>
      <c r="P37" s="5"/>
      <c r="Q37" s="5"/>
      <c r="R37" s="5"/>
      <c r="S37" s="5"/>
      <c r="T37" s="5"/>
    </row>
    <row r="38">
      <c r="A38" s="11" t="s">
        <v>174</v>
      </c>
      <c r="B38" s="15" t="s">
        <v>91</v>
      </c>
      <c r="C38" s="15" t="s">
        <v>175</v>
      </c>
      <c r="D38" s="15" t="s">
        <v>116</v>
      </c>
      <c r="E38" s="15" t="s">
        <v>90</v>
      </c>
      <c r="F38" s="15" t="s">
        <v>61</v>
      </c>
      <c r="G38" s="15" t="s">
        <v>14</v>
      </c>
      <c r="H38" s="15" t="s">
        <v>176</v>
      </c>
      <c r="I38" s="18"/>
      <c r="J38" s="19">
        <v>1.0E7</v>
      </c>
      <c r="K38" s="18"/>
      <c r="L38" s="15" t="s">
        <v>89</v>
      </c>
      <c r="M38" s="20"/>
      <c r="N38" s="5"/>
      <c r="O38" s="5"/>
      <c r="P38" s="5"/>
      <c r="Q38" s="5"/>
      <c r="R38" s="5"/>
      <c r="S38" s="5"/>
      <c r="T38" s="5"/>
    </row>
    <row r="39">
      <c r="A39" s="11" t="s">
        <v>177</v>
      </c>
      <c r="B39" s="15" t="s">
        <v>91</v>
      </c>
      <c r="C39" s="15" t="s">
        <v>178</v>
      </c>
      <c r="D39" s="15" t="s">
        <v>116</v>
      </c>
      <c r="E39" s="15" t="s">
        <v>90</v>
      </c>
      <c r="F39" s="15" t="s">
        <v>61</v>
      </c>
      <c r="G39" s="15" t="s">
        <v>14</v>
      </c>
      <c r="H39" s="15" t="s">
        <v>179</v>
      </c>
      <c r="I39" s="18"/>
      <c r="J39" s="19">
        <v>2000000.0</v>
      </c>
      <c r="K39" s="18"/>
      <c r="L39" s="15" t="s">
        <v>89</v>
      </c>
      <c r="M39" s="20"/>
      <c r="N39" s="5"/>
      <c r="O39" s="5"/>
      <c r="P39" s="5"/>
      <c r="Q39" s="5"/>
      <c r="R39" s="5"/>
      <c r="S39" s="5"/>
      <c r="T39" s="5"/>
    </row>
    <row r="40">
      <c r="A40" s="11" t="s">
        <v>180</v>
      </c>
      <c r="B40" s="15" t="s">
        <v>91</v>
      </c>
      <c r="C40" s="15" t="s">
        <v>181</v>
      </c>
      <c r="D40" s="15" t="s">
        <v>116</v>
      </c>
      <c r="E40" s="15" t="s">
        <v>90</v>
      </c>
      <c r="F40" s="15" t="s">
        <v>182</v>
      </c>
      <c r="G40" s="15" t="s">
        <v>20</v>
      </c>
      <c r="H40" s="15" t="s">
        <v>183</v>
      </c>
      <c r="I40" s="15" t="s">
        <v>184</v>
      </c>
      <c r="J40" s="19">
        <v>2500000.0</v>
      </c>
      <c r="K40" s="15"/>
      <c r="L40" s="15" t="s">
        <v>89</v>
      </c>
      <c r="M40" s="26">
        <v>5.0</v>
      </c>
      <c r="N40" s="5"/>
      <c r="O40" s="5"/>
      <c r="P40" s="5"/>
      <c r="Q40" s="5"/>
      <c r="R40" s="5"/>
      <c r="S40" s="5"/>
      <c r="T40" s="5"/>
    </row>
    <row r="41">
      <c r="A41" s="11" t="s">
        <v>185</v>
      </c>
      <c r="B41" s="15" t="s">
        <v>91</v>
      </c>
      <c r="C41" s="15" t="s">
        <v>186</v>
      </c>
      <c r="D41" s="15" t="s">
        <v>116</v>
      </c>
      <c r="E41" s="15" t="s">
        <v>90</v>
      </c>
      <c r="F41" s="15" t="s">
        <v>182</v>
      </c>
      <c r="G41" s="15" t="s">
        <v>20</v>
      </c>
      <c r="H41" s="15" t="s">
        <v>183</v>
      </c>
      <c r="I41" s="15" t="s">
        <v>184</v>
      </c>
      <c r="J41" s="19">
        <v>100000.0</v>
      </c>
      <c r="K41" s="15" t="s">
        <v>187</v>
      </c>
      <c r="L41" s="15" t="s">
        <v>89</v>
      </c>
      <c r="M41" s="26">
        <v>1.0</v>
      </c>
      <c r="N41" s="5"/>
      <c r="O41" s="5"/>
      <c r="P41" s="5"/>
      <c r="Q41" s="5"/>
      <c r="R41" s="5"/>
      <c r="S41" s="5"/>
      <c r="T41" s="5"/>
    </row>
    <row r="42">
      <c r="A42" s="11" t="s">
        <v>188</v>
      </c>
      <c r="B42" s="15" t="s">
        <v>91</v>
      </c>
      <c r="C42" s="15" t="s">
        <v>189</v>
      </c>
      <c r="D42" s="15" t="s">
        <v>116</v>
      </c>
      <c r="E42" s="15" t="s">
        <v>90</v>
      </c>
      <c r="F42" s="15" t="s">
        <v>182</v>
      </c>
      <c r="G42" s="15" t="s">
        <v>20</v>
      </c>
      <c r="H42" s="15" t="s">
        <v>183</v>
      </c>
      <c r="I42" s="15" t="s">
        <v>190</v>
      </c>
      <c r="J42" s="19">
        <v>600000.0</v>
      </c>
      <c r="K42" s="15" t="s">
        <v>191</v>
      </c>
      <c r="L42" s="15" t="s">
        <v>89</v>
      </c>
      <c r="M42" s="26">
        <v>4.0</v>
      </c>
      <c r="N42" s="5"/>
      <c r="O42" s="5"/>
      <c r="P42" s="5"/>
      <c r="Q42" s="5"/>
      <c r="R42" s="5"/>
      <c r="S42" s="5"/>
      <c r="T42" s="5"/>
    </row>
    <row r="43">
      <c r="A43" s="11" t="s">
        <v>192</v>
      </c>
      <c r="B43" s="15" t="s">
        <v>91</v>
      </c>
      <c r="C43" s="15" t="s">
        <v>193</v>
      </c>
      <c r="D43" s="15" t="s">
        <v>116</v>
      </c>
      <c r="E43" s="15" t="s">
        <v>90</v>
      </c>
      <c r="F43" s="15" t="s">
        <v>182</v>
      </c>
      <c r="G43" s="15" t="s">
        <v>20</v>
      </c>
      <c r="H43" s="15" t="s">
        <v>183</v>
      </c>
      <c r="I43" s="15" t="s">
        <v>194</v>
      </c>
      <c r="J43" s="19">
        <v>1.47E7</v>
      </c>
      <c r="K43" s="15" t="s">
        <v>195</v>
      </c>
      <c r="L43" s="15" t="s">
        <v>89</v>
      </c>
      <c r="M43" s="26">
        <v>49.0</v>
      </c>
      <c r="N43" s="5"/>
      <c r="O43" s="5"/>
      <c r="P43" s="5"/>
      <c r="Q43" s="5"/>
      <c r="R43" s="5"/>
      <c r="S43" s="5"/>
      <c r="T43" s="5"/>
    </row>
    <row r="44">
      <c r="A44" s="11" t="s">
        <v>196</v>
      </c>
      <c r="B44" s="15" t="s">
        <v>91</v>
      </c>
      <c r="C44" s="15" t="s">
        <v>197</v>
      </c>
      <c r="D44" s="15" t="s">
        <v>116</v>
      </c>
      <c r="E44" s="15" t="s">
        <v>90</v>
      </c>
      <c r="F44" s="15" t="s">
        <v>182</v>
      </c>
      <c r="G44" s="15" t="s">
        <v>20</v>
      </c>
      <c r="H44" s="15" t="s">
        <v>183</v>
      </c>
      <c r="I44" s="15" t="s">
        <v>190</v>
      </c>
      <c r="J44" s="19">
        <v>1.296E7</v>
      </c>
      <c r="K44" s="15" t="s">
        <v>198</v>
      </c>
      <c r="L44" s="15" t="s">
        <v>89</v>
      </c>
      <c r="M44" s="26">
        <v>81.0</v>
      </c>
      <c r="N44" s="5"/>
      <c r="O44" s="5"/>
      <c r="P44" s="5"/>
      <c r="Q44" s="5"/>
      <c r="R44" s="5"/>
      <c r="S44" s="5"/>
      <c r="T44" s="5"/>
    </row>
    <row r="45">
      <c r="A45" s="11" t="s">
        <v>199</v>
      </c>
      <c r="B45" s="15" t="s">
        <v>91</v>
      </c>
      <c r="C45" s="15" t="s">
        <v>200</v>
      </c>
      <c r="D45" s="15" t="s">
        <v>116</v>
      </c>
      <c r="E45" s="15" t="s">
        <v>90</v>
      </c>
      <c r="F45" s="15" t="s">
        <v>182</v>
      </c>
      <c r="G45" s="15" t="s">
        <v>20</v>
      </c>
      <c r="H45" s="15" t="s">
        <v>183</v>
      </c>
      <c r="I45" s="15" t="s">
        <v>194</v>
      </c>
      <c r="J45" s="19">
        <v>600000.0</v>
      </c>
      <c r="K45" s="15" t="s">
        <v>201</v>
      </c>
      <c r="L45" s="15" t="s">
        <v>89</v>
      </c>
      <c r="M45" s="26">
        <v>1.0</v>
      </c>
      <c r="N45" s="5"/>
      <c r="O45" s="5"/>
      <c r="P45" s="5"/>
      <c r="Q45" s="5"/>
      <c r="R45" s="5"/>
      <c r="S45" s="5"/>
      <c r="T45" s="5"/>
    </row>
    <row r="46">
      <c r="A46" s="11" t="s">
        <v>202</v>
      </c>
      <c r="B46" s="15" t="s">
        <v>91</v>
      </c>
      <c r="C46" s="15" t="s">
        <v>203</v>
      </c>
      <c r="D46" s="15" t="s">
        <v>116</v>
      </c>
      <c r="E46" s="15" t="s">
        <v>90</v>
      </c>
      <c r="F46" s="15" t="s">
        <v>182</v>
      </c>
      <c r="G46" s="15" t="s">
        <v>20</v>
      </c>
      <c r="H46" s="15" t="s">
        <v>183</v>
      </c>
      <c r="I46" s="15" t="s">
        <v>190</v>
      </c>
      <c r="J46" s="19">
        <v>1.0E7</v>
      </c>
      <c r="K46" s="15" t="s">
        <v>204</v>
      </c>
      <c r="L46" s="15" t="s">
        <v>89</v>
      </c>
      <c r="M46" s="26">
        <v>1.0</v>
      </c>
      <c r="N46" s="5"/>
      <c r="O46" s="5"/>
      <c r="P46" s="5"/>
      <c r="Q46" s="5"/>
      <c r="R46" s="5"/>
      <c r="S46" s="5"/>
      <c r="T46" s="5"/>
    </row>
    <row r="47">
      <c r="A47" s="11" t="s">
        <v>205</v>
      </c>
      <c r="B47" s="15" t="s">
        <v>91</v>
      </c>
      <c r="C47" s="15" t="s">
        <v>206</v>
      </c>
      <c r="D47" s="15" t="s">
        <v>116</v>
      </c>
      <c r="E47" s="15" t="s">
        <v>90</v>
      </c>
      <c r="F47" s="15" t="s">
        <v>182</v>
      </c>
      <c r="G47" s="15" t="s">
        <v>20</v>
      </c>
      <c r="H47" s="15" t="s">
        <v>183</v>
      </c>
      <c r="I47" s="15"/>
      <c r="J47" s="19">
        <v>1260000.0</v>
      </c>
      <c r="K47" s="15"/>
      <c r="L47" s="15" t="s">
        <v>89</v>
      </c>
      <c r="M47" s="26">
        <v>9.0</v>
      </c>
      <c r="N47" s="5"/>
      <c r="O47" s="5"/>
      <c r="P47" s="5"/>
      <c r="Q47" s="5"/>
      <c r="R47" s="5"/>
      <c r="S47" s="5"/>
      <c r="T47" s="5"/>
    </row>
    <row r="48">
      <c r="A48" s="11" t="s">
        <v>207</v>
      </c>
      <c r="B48" s="15" t="s">
        <v>91</v>
      </c>
      <c r="C48" s="15" t="s">
        <v>208</v>
      </c>
      <c r="D48" s="15" t="s">
        <v>116</v>
      </c>
      <c r="E48" s="15" t="s">
        <v>90</v>
      </c>
      <c r="F48" s="15" t="s">
        <v>182</v>
      </c>
      <c r="G48" s="15" t="s">
        <v>20</v>
      </c>
      <c r="H48" s="15" t="s">
        <v>183</v>
      </c>
      <c r="I48" s="15" t="s">
        <v>190</v>
      </c>
      <c r="J48" s="19">
        <v>300000.0</v>
      </c>
      <c r="K48" s="15" t="s">
        <v>209</v>
      </c>
      <c r="L48" s="15" t="s">
        <v>89</v>
      </c>
      <c r="M48" s="26">
        <v>1.0</v>
      </c>
      <c r="N48" s="5"/>
      <c r="O48" s="5"/>
      <c r="P48" s="5"/>
      <c r="Q48" s="5"/>
      <c r="R48" s="5"/>
      <c r="S48" s="5"/>
      <c r="T48" s="5"/>
    </row>
    <row r="49">
      <c r="A49" s="11" t="s">
        <v>210</v>
      </c>
      <c r="B49" s="15" t="s">
        <v>91</v>
      </c>
      <c r="C49" s="15" t="s">
        <v>211</v>
      </c>
      <c r="D49" s="15" t="s">
        <v>116</v>
      </c>
      <c r="E49" s="15" t="s">
        <v>90</v>
      </c>
      <c r="F49" s="15" t="s">
        <v>182</v>
      </c>
      <c r="G49" s="15" t="s">
        <v>20</v>
      </c>
      <c r="H49" s="15" t="s">
        <v>183</v>
      </c>
      <c r="I49" s="15" t="s">
        <v>190</v>
      </c>
      <c r="J49" s="19">
        <v>0.0</v>
      </c>
      <c r="K49" s="15" t="s">
        <v>212</v>
      </c>
      <c r="L49" s="15" t="s">
        <v>89</v>
      </c>
      <c r="M49" s="26">
        <v>1.0</v>
      </c>
      <c r="N49" s="5"/>
      <c r="O49" s="5"/>
      <c r="P49" s="5"/>
      <c r="Q49" s="5"/>
      <c r="R49" s="5"/>
      <c r="S49" s="5"/>
      <c r="T49" s="5"/>
    </row>
    <row r="50">
      <c r="A50" s="11" t="s">
        <v>213</v>
      </c>
      <c r="B50" s="15" t="s">
        <v>91</v>
      </c>
      <c r="C50" s="15" t="s">
        <v>214</v>
      </c>
      <c r="D50" s="15" t="s">
        <v>116</v>
      </c>
      <c r="E50" s="15" t="s">
        <v>90</v>
      </c>
      <c r="F50" s="15" t="s">
        <v>182</v>
      </c>
      <c r="G50" s="15" t="s">
        <v>20</v>
      </c>
      <c r="H50" s="15" t="s">
        <v>183</v>
      </c>
      <c r="I50" s="15" t="s">
        <v>190</v>
      </c>
      <c r="J50" s="19">
        <v>1700000.0</v>
      </c>
      <c r="K50" s="15" t="s">
        <v>215</v>
      </c>
      <c r="L50" s="15" t="s">
        <v>89</v>
      </c>
      <c r="M50" s="26">
        <v>1.0</v>
      </c>
      <c r="N50" s="5"/>
      <c r="O50" s="5"/>
      <c r="P50" s="5"/>
      <c r="Q50" s="5"/>
      <c r="R50" s="5"/>
      <c r="S50" s="5"/>
      <c r="T50" s="5"/>
    </row>
    <row r="51">
      <c r="A51" s="11" t="s">
        <v>216</v>
      </c>
      <c r="B51" s="15" t="s">
        <v>91</v>
      </c>
      <c r="C51" s="15" t="s">
        <v>217</v>
      </c>
      <c r="D51" s="15" t="s">
        <v>116</v>
      </c>
      <c r="E51" s="15" t="s">
        <v>90</v>
      </c>
      <c r="F51" s="15" t="s">
        <v>182</v>
      </c>
      <c r="G51" s="15" t="s">
        <v>20</v>
      </c>
      <c r="H51" s="15" t="s">
        <v>183</v>
      </c>
      <c r="I51" s="15" t="s">
        <v>190</v>
      </c>
      <c r="J51" s="19">
        <v>1120000.0</v>
      </c>
      <c r="K51" s="15" t="s">
        <v>218</v>
      </c>
      <c r="L51" s="15" t="s">
        <v>89</v>
      </c>
      <c r="M51" s="26">
        <v>2.0</v>
      </c>
      <c r="N51" s="5"/>
      <c r="O51" s="5"/>
      <c r="P51" s="5"/>
      <c r="Q51" s="5"/>
      <c r="R51" s="5"/>
      <c r="S51" s="5"/>
      <c r="T51" s="5"/>
    </row>
    <row r="52">
      <c r="A52" s="11" t="s">
        <v>219</v>
      </c>
      <c r="B52" s="15" t="s">
        <v>91</v>
      </c>
      <c r="C52" s="15" t="s">
        <v>220</v>
      </c>
      <c r="D52" s="15" t="s">
        <v>116</v>
      </c>
      <c r="E52" s="15" t="s">
        <v>90</v>
      </c>
      <c r="F52" s="15" t="s">
        <v>182</v>
      </c>
      <c r="G52" s="15" t="s">
        <v>20</v>
      </c>
      <c r="H52" s="15" t="s">
        <v>183</v>
      </c>
      <c r="I52" s="15" t="s">
        <v>190</v>
      </c>
      <c r="J52" s="19">
        <v>1500000.0</v>
      </c>
      <c r="K52" s="15" t="s">
        <v>221</v>
      </c>
      <c r="L52" s="15" t="s">
        <v>89</v>
      </c>
      <c r="M52" s="20"/>
      <c r="N52" s="5"/>
      <c r="O52" s="5"/>
      <c r="P52" s="5"/>
      <c r="Q52" s="5"/>
      <c r="R52" s="5"/>
      <c r="S52" s="5"/>
      <c r="T52" s="5"/>
    </row>
    <row r="53">
      <c r="A53" s="11" t="s">
        <v>222</v>
      </c>
      <c r="B53" s="15" t="s">
        <v>91</v>
      </c>
      <c r="C53" s="15" t="s">
        <v>223</v>
      </c>
      <c r="D53" s="15" t="s">
        <v>116</v>
      </c>
      <c r="E53" s="15" t="s">
        <v>90</v>
      </c>
      <c r="F53" s="15" t="s">
        <v>182</v>
      </c>
      <c r="G53" s="15" t="s">
        <v>20</v>
      </c>
      <c r="H53" s="15" t="s">
        <v>183</v>
      </c>
      <c r="I53" s="15" t="s">
        <v>194</v>
      </c>
      <c r="J53" s="19">
        <v>600000.0</v>
      </c>
      <c r="K53" s="15" t="s">
        <v>224</v>
      </c>
      <c r="L53" s="15" t="s">
        <v>89</v>
      </c>
      <c r="M53" s="26">
        <v>50.0</v>
      </c>
      <c r="N53" s="5"/>
      <c r="O53" s="5"/>
      <c r="P53" s="5"/>
      <c r="Q53" s="5"/>
      <c r="R53" s="5"/>
      <c r="S53" s="5"/>
      <c r="T53" s="5"/>
    </row>
    <row r="54">
      <c r="A54" s="11" t="s">
        <v>225</v>
      </c>
      <c r="B54" s="15" t="s">
        <v>91</v>
      </c>
      <c r="C54" s="15" t="s">
        <v>226</v>
      </c>
      <c r="D54" s="15" t="s">
        <v>116</v>
      </c>
      <c r="E54" s="15" t="s">
        <v>90</v>
      </c>
      <c r="F54" s="15" t="s">
        <v>182</v>
      </c>
      <c r="G54" s="15" t="s">
        <v>20</v>
      </c>
      <c r="H54" s="15" t="s">
        <v>183</v>
      </c>
      <c r="I54" s="15" t="s">
        <v>194</v>
      </c>
      <c r="J54" s="19">
        <v>1350000.0</v>
      </c>
      <c r="K54" s="15" t="s">
        <v>227</v>
      </c>
      <c r="L54" s="15" t="s">
        <v>89</v>
      </c>
      <c r="M54" s="26">
        <v>1.0</v>
      </c>
      <c r="N54" s="5"/>
      <c r="O54" s="5"/>
      <c r="P54" s="5"/>
      <c r="Q54" s="5"/>
      <c r="R54" s="5"/>
      <c r="S54" s="5"/>
      <c r="T54" s="5"/>
    </row>
    <row r="55">
      <c r="A55" s="11" t="s">
        <v>228</v>
      </c>
      <c r="B55" s="15" t="s">
        <v>91</v>
      </c>
      <c r="C55" s="15" t="s">
        <v>229</v>
      </c>
      <c r="D55" s="15" t="s">
        <v>116</v>
      </c>
      <c r="E55" s="15" t="s">
        <v>90</v>
      </c>
      <c r="F55" s="15" t="s">
        <v>182</v>
      </c>
      <c r="G55" s="15" t="s">
        <v>20</v>
      </c>
      <c r="H55" s="15" t="s">
        <v>183</v>
      </c>
      <c r="I55" s="15" t="s">
        <v>184</v>
      </c>
      <c r="J55" s="19">
        <v>700000.0</v>
      </c>
      <c r="K55" s="15" t="s">
        <v>230</v>
      </c>
      <c r="L55" s="15" t="s">
        <v>89</v>
      </c>
      <c r="M55" s="26">
        <v>9.0</v>
      </c>
      <c r="N55" s="5"/>
      <c r="O55" s="5"/>
      <c r="P55" s="5"/>
      <c r="Q55" s="5"/>
      <c r="R55" s="5"/>
      <c r="S55" s="5"/>
      <c r="T55" s="5"/>
    </row>
    <row r="56">
      <c r="A56" s="11" t="s">
        <v>231</v>
      </c>
      <c r="B56" s="15" t="s">
        <v>91</v>
      </c>
      <c r="C56" s="15" t="s">
        <v>232</v>
      </c>
      <c r="D56" s="15" t="s">
        <v>116</v>
      </c>
      <c r="E56" s="15" t="s">
        <v>90</v>
      </c>
      <c r="F56" s="15" t="s">
        <v>233</v>
      </c>
      <c r="G56" s="15" t="s">
        <v>11</v>
      </c>
      <c r="H56" s="18"/>
      <c r="I56" s="15" t="s">
        <v>194</v>
      </c>
      <c r="J56" s="19">
        <v>2850000.0</v>
      </c>
      <c r="K56" s="15" t="s">
        <v>234</v>
      </c>
      <c r="L56" s="15" t="s">
        <v>89</v>
      </c>
      <c r="M56" s="26">
        <v>19.0</v>
      </c>
      <c r="N56" s="5"/>
      <c r="O56" s="5"/>
      <c r="P56" s="5"/>
      <c r="Q56" s="5"/>
      <c r="R56" s="5"/>
      <c r="S56" s="5"/>
      <c r="T56" s="5"/>
    </row>
    <row r="57">
      <c r="A57" s="11" t="s">
        <v>235</v>
      </c>
      <c r="B57" s="15" t="s">
        <v>91</v>
      </c>
      <c r="C57" s="15" t="s">
        <v>236</v>
      </c>
      <c r="D57" s="15" t="s">
        <v>116</v>
      </c>
      <c r="E57" s="15" t="s">
        <v>90</v>
      </c>
      <c r="F57" s="15" t="s">
        <v>233</v>
      </c>
      <c r="G57" s="15" t="s">
        <v>11</v>
      </c>
      <c r="H57" s="18"/>
      <c r="I57" s="15" t="s">
        <v>190</v>
      </c>
      <c r="J57" s="19">
        <v>0.0</v>
      </c>
      <c r="K57" s="15" t="s">
        <v>237</v>
      </c>
      <c r="L57" s="15" t="s">
        <v>89</v>
      </c>
      <c r="M57" s="26">
        <v>1.0</v>
      </c>
      <c r="N57" s="5"/>
      <c r="O57" s="5"/>
      <c r="P57" s="5"/>
      <c r="Q57" s="5"/>
      <c r="R57" s="5"/>
      <c r="S57" s="5"/>
      <c r="T57" s="5"/>
    </row>
    <row r="58">
      <c r="A58" s="11" t="s">
        <v>238</v>
      </c>
      <c r="B58" s="15" t="s">
        <v>91</v>
      </c>
      <c r="C58" s="15" t="s">
        <v>239</v>
      </c>
      <c r="D58" s="15" t="s">
        <v>116</v>
      </c>
      <c r="E58" s="15" t="s">
        <v>90</v>
      </c>
      <c r="F58" s="15" t="s">
        <v>233</v>
      </c>
      <c r="G58" s="15" t="s">
        <v>11</v>
      </c>
      <c r="H58" s="18"/>
      <c r="I58" s="15" t="s">
        <v>190</v>
      </c>
      <c r="J58" s="19">
        <v>1615000.0</v>
      </c>
      <c r="K58" s="15" t="s">
        <v>240</v>
      </c>
      <c r="L58" s="15" t="s">
        <v>89</v>
      </c>
      <c r="M58" s="26">
        <v>19.0</v>
      </c>
      <c r="N58" s="5"/>
      <c r="O58" s="5"/>
      <c r="P58" s="5"/>
      <c r="Q58" s="5"/>
      <c r="R58" s="5"/>
      <c r="S58" s="5"/>
      <c r="T58" s="5"/>
    </row>
    <row r="59">
      <c r="A59" s="11" t="s">
        <v>241</v>
      </c>
      <c r="B59" s="15" t="s">
        <v>91</v>
      </c>
      <c r="C59" s="15" t="s">
        <v>242</v>
      </c>
      <c r="D59" s="15" t="s">
        <v>116</v>
      </c>
      <c r="E59" s="15" t="s">
        <v>90</v>
      </c>
      <c r="F59" s="15" t="s">
        <v>233</v>
      </c>
      <c r="G59" s="15" t="s">
        <v>11</v>
      </c>
      <c r="H59" s="18"/>
      <c r="I59" s="15" t="s">
        <v>190</v>
      </c>
      <c r="J59" s="19">
        <v>500000.0</v>
      </c>
      <c r="K59" s="15" t="s">
        <v>243</v>
      </c>
      <c r="L59" s="15" t="s">
        <v>89</v>
      </c>
      <c r="M59" s="26">
        <v>1.0</v>
      </c>
      <c r="N59" s="5"/>
      <c r="O59" s="5"/>
      <c r="P59" s="5"/>
      <c r="Q59" s="5"/>
      <c r="R59" s="5"/>
      <c r="S59" s="5"/>
      <c r="T59" s="5"/>
    </row>
    <row r="60">
      <c r="A60" s="11" t="s">
        <v>244</v>
      </c>
      <c r="B60" s="15" t="s">
        <v>91</v>
      </c>
      <c r="C60" s="15" t="s">
        <v>245</v>
      </c>
      <c r="D60" s="15" t="s">
        <v>116</v>
      </c>
      <c r="E60" s="15" t="s">
        <v>90</v>
      </c>
      <c r="F60" s="15" t="s">
        <v>233</v>
      </c>
      <c r="G60" s="15" t="s">
        <v>11</v>
      </c>
      <c r="H60" s="18"/>
      <c r="I60" s="15" t="s">
        <v>194</v>
      </c>
      <c r="J60" s="19">
        <v>3.25E7</v>
      </c>
      <c r="K60" s="15" t="s">
        <v>246</v>
      </c>
      <c r="L60" s="15" t="s">
        <v>89</v>
      </c>
      <c r="M60" s="26">
        <v>65.0</v>
      </c>
      <c r="N60" s="5"/>
      <c r="O60" s="5"/>
      <c r="P60" s="5"/>
      <c r="Q60" s="5"/>
      <c r="R60" s="5"/>
      <c r="S60" s="5"/>
      <c r="T60" s="5"/>
    </row>
    <row r="61">
      <c r="A61" s="11" t="s">
        <v>247</v>
      </c>
      <c r="B61" s="15" t="s">
        <v>91</v>
      </c>
      <c r="C61" s="15" t="s">
        <v>248</v>
      </c>
      <c r="D61" s="15" t="s">
        <v>116</v>
      </c>
      <c r="E61" s="15" t="s">
        <v>90</v>
      </c>
      <c r="F61" s="15" t="s">
        <v>233</v>
      </c>
      <c r="G61" s="15" t="s">
        <v>11</v>
      </c>
      <c r="H61" s="18"/>
      <c r="I61" s="15" t="s">
        <v>184</v>
      </c>
      <c r="J61" s="19">
        <v>900000.0</v>
      </c>
      <c r="K61" s="18"/>
      <c r="L61" s="15" t="s">
        <v>89</v>
      </c>
      <c r="M61" s="26">
        <v>9.0</v>
      </c>
      <c r="N61" s="5"/>
      <c r="O61" s="5"/>
      <c r="P61" s="5"/>
      <c r="Q61" s="5"/>
      <c r="R61" s="5"/>
      <c r="S61" s="5"/>
      <c r="T61" s="5"/>
    </row>
    <row r="62">
      <c r="A62" s="11" t="s">
        <v>249</v>
      </c>
      <c r="B62" s="15" t="s">
        <v>91</v>
      </c>
      <c r="C62" s="15" t="s">
        <v>250</v>
      </c>
      <c r="D62" s="15" t="s">
        <v>116</v>
      </c>
      <c r="E62" s="15" t="s">
        <v>90</v>
      </c>
      <c r="F62" s="15" t="s">
        <v>233</v>
      </c>
      <c r="G62" s="15" t="s">
        <v>11</v>
      </c>
      <c r="H62" s="18"/>
      <c r="I62" s="15" t="s">
        <v>190</v>
      </c>
      <c r="J62" s="19">
        <v>400000.0</v>
      </c>
      <c r="K62" s="15" t="s">
        <v>251</v>
      </c>
      <c r="L62" s="15" t="s">
        <v>89</v>
      </c>
      <c r="M62" s="26">
        <v>1.0</v>
      </c>
      <c r="N62" s="5"/>
      <c r="O62" s="5"/>
      <c r="P62" s="5"/>
      <c r="Q62" s="5"/>
      <c r="R62" s="5"/>
      <c r="S62" s="5"/>
      <c r="T62" s="5"/>
    </row>
    <row r="63">
      <c r="A63" s="11" t="s">
        <v>252</v>
      </c>
      <c r="B63" s="15" t="s">
        <v>91</v>
      </c>
      <c r="C63" s="15" t="s">
        <v>253</v>
      </c>
      <c r="D63" s="15" t="s">
        <v>116</v>
      </c>
      <c r="E63" s="15" t="s">
        <v>90</v>
      </c>
      <c r="F63" s="15" t="s">
        <v>233</v>
      </c>
      <c r="G63" s="15" t="s">
        <v>11</v>
      </c>
      <c r="H63" s="18"/>
      <c r="I63" s="15" t="s">
        <v>190</v>
      </c>
      <c r="J63" s="19">
        <v>2000000.0</v>
      </c>
      <c r="K63" s="15" t="s">
        <v>251</v>
      </c>
      <c r="L63" s="15" t="s">
        <v>89</v>
      </c>
      <c r="M63" s="26">
        <v>1.0</v>
      </c>
      <c r="N63" s="5"/>
      <c r="O63" s="5"/>
      <c r="P63" s="5"/>
      <c r="Q63" s="5"/>
      <c r="R63" s="5"/>
      <c r="S63" s="5"/>
      <c r="T63" s="5"/>
    </row>
    <row r="64">
      <c r="A64" s="11" t="s">
        <v>254</v>
      </c>
      <c r="B64" s="15" t="s">
        <v>91</v>
      </c>
      <c r="C64" s="15" t="s">
        <v>255</v>
      </c>
      <c r="D64" s="15" t="s">
        <v>116</v>
      </c>
      <c r="E64" s="15" t="s">
        <v>90</v>
      </c>
      <c r="F64" s="15" t="s">
        <v>233</v>
      </c>
      <c r="G64" s="15" t="s">
        <v>11</v>
      </c>
      <c r="H64" s="18"/>
      <c r="I64" s="15" t="s">
        <v>190</v>
      </c>
      <c r="J64" s="19">
        <v>1000000.0</v>
      </c>
      <c r="K64" s="15" t="s">
        <v>251</v>
      </c>
      <c r="L64" s="15" t="s">
        <v>89</v>
      </c>
      <c r="M64" s="26">
        <v>2.0</v>
      </c>
      <c r="N64" s="5"/>
      <c r="O64" s="5"/>
      <c r="P64" s="5"/>
      <c r="Q64" s="5"/>
      <c r="R64" s="5"/>
      <c r="S64" s="5"/>
      <c r="T64" s="5"/>
    </row>
    <row r="65">
      <c r="A65" s="11" t="s">
        <v>256</v>
      </c>
      <c r="B65" s="15" t="s">
        <v>91</v>
      </c>
      <c r="C65" s="15" t="s">
        <v>257</v>
      </c>
      <c r="D65" s="15" t="s">
        <v>116</v>
      </c>
      <c r="E65" s="15" t="s">
        <v>90</v>
      </c>
      <c r="F65" s="15" t="s">
        <v>233</v>
      </c>
      <c r="G65" s="15" t="s">
        <v>11</v>
      </c>
      <c r="H65" s="18"/>
      <c r="I65" s="15" t="s">
        <v>190</v>
      </c>
      <c r="J65" s="19">
        <v>2000000.0</v>
      </c>
      <c r="K65" s="15" t="s">
        <v>251</v>
      </c>
      <c r="L65" s="15" t="s">
        <v>89</v>
      </c>
      <c r="M65" s="26">
        <v>1.0</v>
      </c>
      <c r="N65" s="5"/>
      <c r="O65" s="5"/>
      <c r="P65" s="5"/>
      <c r="Q65" s="5"/>
      <c r="R65" s="5"/>
      <c r="S65" s="5"/>
      <c r="T65" s="5"/>
    </row>
    <row r="66">
      <c r="A66" s="11" t="s">
        <v>258</v>
      </c>
      <c r="B66" s="15" t="s">
        <v>91</v>
      </c>
      <c r="C66" s="15" t="s">
        <v>259</v>
      </c>
      <c r="D66" s="15" t="s">
        <v>116</v>
      </c>
      <c r="E66" s="15" t="s">
        <v>90</v>
      </c>
      <c r="F66" s="15" t="s">
        <v>233</v>
      </c>
      <c r="G66" s="15" t="s">
        <v>11</v>
      </c>
      <c r="H66" s="18"/>
      <c r="I66" s="15" t="s">
        <v>190</v>
      </c>
      <c r="J66" s="19">
        <v>600000.0</v>
      </c>
      <c r="K66" s="15" t="s">
        <v>251</v>
      </c>
      <c r="L66" s="15" t="s">
        <v>89</v>
      </c>
      <c r="M66" s="26">
        <v>2.0</v>
      </c>
      <c r="N66" s="5"/>
      <c r="O66" s="5"/>
      <c r="P66" s="5"/>
      <c r="Q66" s="5"/>
      <c r="R66" s="5"/>
      <c r="S66" s="5"/>
      <c r="T66" s="5"/>
    </row>
    <row r="67">
      <c r="A67" s="11" t="s">
        <v>260</v>
      </c>
      <c r="B67" s="15" t="s">
        <v>91</v>
      </c>
      <c r="C67" s="15" t="s">
        <v>261</v>
      </c>
      <c r="D67" s="15" t="s">
        <v>116</v>
      </c>
      <c r="E67" s="15" t="s">
        <v>90</v>
      </c>
      <c r="F67" s="15" t="s">
        <v>233</v>
      </c>
      <c r="G67" s="15" t="s">
        <v>11</v>
      </c>
      <c r="H67" s="18"/>
      <c r="I67" s="15" t="s">
        <v>190</v>
      </c>
      <c r="J67" s="19">
        <v>4000000.0</v>
      </c>
      <c r="K67" s="15" t="s">
        <v>251</v>
      </c>
      <c r="L67" s="15" t="s">
        <v>89</v>
      </c>
      <c r="M67" s="26">
        <v>4.0</v>
      </c>
      <c r="N67" s="5"/>
      <c r="O67" s="5"/>
      <c r="P67" s="5"/>
      <c r="Q67" s="5"/>
      <c r="R67" s="5"/>
      <c r="S67" s="5"/>
      <c r="T67" s="5"/>
    </row>
    <row r="68">
      <c r="A68" s="11" t="s">
        <v>262</v>
      </c>
      <c r="B68" s="15" t="s">
        <v>91</v>
      </c>
      <c r="C68" s="15" t="s">
        <v>263</v>
      </c>
      <c r="D68" s="15" t="s">
        <v>116</v>
      </c>
      <c r="E68" s="15" t="s">
        <v>90</v>
      </c>
      <c r="F68" s="15" t="s">
        <v>233</v>
      </c>
      <c r="G68" s="15" t="s">
        <v>11</v>
      </c>
      <c r="H68" s="18"/>
      <c r="I68" s="15" t="s">
        <v>190</v>
      </c>
      <c r="J68" s="19">
        <v>0.0</v>
      </c>
      <c r="K68" s="15" t="s">
        <v>251</v>
      </c>
      <c r="L68" s="15" t="s">
        <v>89</v>
      </c>
      <c r="M68" s="26">
        <v>2.0</v>
      </c>
      <c r="N68" s="5"/>
      <c r="O68" s="5"/>
      <c r="P68" s="5"/>
      <c r="Q68" s="5"/>
      <c r="R68" s="5"/>
      <c r="S68" s="5"/>
      <c r="T68" s="5"/>
    </row>
    <row r="69">
      <c r="A69" s="11" t="s">
        <v>264</v>
      </c>
      <c r="B69" s="15" t="s">
        <v>91</v>
      </c>
      <c r="C69" s="15" t="s">
        <v>265</v>
      </c>
      <c r="D69" s="15" t="s">
        <v>116</v>
      </c>
      <c r="E69" s="15" t="s">
        <v>90</v>
      </c>
      <c r="F69" s="15" t="s">
        <v>233</v>
      </c>
      <c r="G69" s="15" t="s">
        <v>11</v>
      </c>
      <c r="H69" s="18"/>
      <c r="I69" s="15" t="s">
        <v>190</v>
      </c>
      <c r="J69" s="19">
        <v>2500000.0</v>
      </c>
      <c r="K69" s="15" t="s">
        <v>251</v>
      </c>
      <c r="L69" s="15" t="s">
        <v>89</v>
      </c>
      <c r="M69" s="26">
        <v>1.0</v>
      </c>
      <c r="N69" s="5"/>
      <c r="O69" s="5"/>
      <c r="P69" s="5"/>
      <c r="Q69" s="5"/>
      <c r="R69" s="5"/>
      <c r="S69" s="5"/>
      <c r="T69" s="5"/>
    </row>
    <row r="70">
      <c r="A70" s="11" t="s">
        <v>266</v>
      </c>
      <c r="B70" s="15" t="s">
        <v>91</v>
      </c>
      <c r="C70" s="15" t="s">
        <v>267</v>
      </c>
      <c r="D70" s="15" t="s">
        <v>116</v>
      </c>
      <c r="E70" s="15" t="s">
        <v>90</v>
      </c>
      <c r="F70" s="15" t="s">
        <v>233</v>
      </c>
      <c r="G70" s="15" t="s">
        <v>11</v>
      </c>
      <c r="H70" s="18"/>
      <c r="I70" s="15" t="s">
        <v>190</v>
      </c>
      <c r="J70" s="19">
        <v>5000000.0</v>
      </c>
      <c r="K70" s="15" t="s">
        <v>268</v>
      </c>
      <c r="L70" s="15" t="s">
        <v>89</v>
      </c>
      <c r="M70" s="26">
        <v>2.0</v>
      </c>
      <c r="N70" s="5"/>
      <c r="O70" s="5"/>
      <c r="P70" s="5"/>
      <c r="Q70" s="5"/>
      <c r="R70" s="5"/>
      <c r="S70" s="5"/>
      <c r="T70" s="5"/>
    </row>
    <row r="71">
      <c r="A71" s="11" t="s">
        <v>269</v>
      </c>
      <c r="B71" s="15" t="s">
        <v>91</v>
      </c>
      <c r="C71" s="15" t="s">
        <v>270</v>
      </c>
      <c r="D71" s="15" t="s">
        <v>116</v>
      </c>
      <c r="E71" s="15" t="s">
        <v>90</v>
      </c>
      <c r="F71" s="15" t="s">
        <v>233</v>
      </c>
      <c r="G71" s="15" t="s">
        <v>11</v>
      </c>
      <c r="H71" s="18"/>
      <c r="I71" s="15" t="s">
        <v>190</v>
      </c>
      <c r="J71" s="19">
        <v>1700000.0</v>
      </c>
      <c r="K71" s="15" t="s">
        <v>268</v>
      </c>
      <c r="L71" s="15" t="s">
        <v>89</v>
      </c>
      <c r="M71" s="26">
        <v>1.0</v>
      </c>
      <c r="N71" s="5"/>
      <c r="O71" s="5"/>
      <c r="P71" s="5"/>
      <c r="Q71" s="5"/>
      <c r="R71" s="5"/>
      <c r="S71" s="5"/>
      <c r="T71" s="5"/>
    </row>
    <row r="72">
      <c r="A72" s="11" t="s">
        <v>271</v>
      </c>
      <c r="B72" s="15" t="s">
        <v>91</v>
      </c>
      <c r="C72" s="15" t="s">
        <v>272</v>
      </c>
      <c r="D72" s="15" t="s">
        <v>116</v>
      </c>
      <c r="E72" s="15" t="s">
        <v>90</v>
      </c>
      <c r="F72" s="15" t="s">
        <v>233</v>
      </c>
      <c r="G72" s="15" t="s">
        <v>11</v>
      </c>
      <c r="H72" s="18"/>
      <c r="I72" s="15" t="s">
        <v>190</v>
      </c>
      <c r="J72" s="19">
        <v>0.0</v>
      </c>
      <c r="K72" s="15" t="s">
        <v>273</v>
      </c>
      <c r="L72" s="15" t="s">
        <v>89</v>
      </c>
      <c r="M72" s="26">
        <v>1.0</v>
      </c>
      <c r="N72" s="5"/>
      <c r="O72" s="5"/>
      <c r="P72" s="5"/>
      <c r="Q72" s="5"/>
      <c r="R72" s="5"/>
      <c r="S72" s="5"/>
      <c r="T72" s="5"/>
    </row>
    <row r="73">
      <c r="A73" s="11" t="s">
        <v>274</v>
      </c>
      <c r="B73" s="15" t="s">
        <v>91</v>
      </c>
      <c r="C73" s="15" t="s">
        <v>275</v>
      </c>
      <c r="D73" s="15" t="s">
        <v>116</v>
      </c>
      <c r="E73" s="15" t="s">
        <v>90</v>
      </c>
      <c r="F73" s="15" t="s">
        <v>233</v>
      </c>
      <c r="G73" s="15" t="s">
        <v>11</v>
      </c>
      <c r="H73" s="18"/>
      <c r="I73" s="15" t="s">
        <v>190</v>
      </c>
      <c r="J73" s="19">
        <v>700000.0</v>
      </c>
      <c r="K73" s="15" t="s">
        <v>276</v>
      </c>
      <c r="L73" s="15" t="s">
        <v>89</v>
      </c>
      <c r="M73" s="26">
        <v>1.0</v>
      </c>
      <c r="N73" s="5"/>
      <c r="O73" s="5"/>
      <c r="P73" s="5"/>
      <c r="Q73" s="5"/>
      <c r="R73" s="5"/>
      <c r="S73" s="5"/>
      <c r="T73" s="5"/>
    </row>
    <row r="74">
      <c r="A74" s="11" t="s">
        <v>277</v>
      </c>
      <c r="B74" s="15" t="s">
        <v>91</v>
      </c>
      <c r="C74" s="15" t="s">
        <v>278</v>
      </c>
      <c r="D74" s="15" t="s">
        <v>116</v>
      </c>
      <c r="E74" s="15" t="s">
        <v>90</v>
      </c>
      <c r="F74" s="15" t="s">
        <v>233</v>
      </c>
      <c r="G74" s="15" t="s">
        <v>11</v>
      </c>
      <c r="H74" s="18"/>
      <c r="I74" s="15" t="s">
        <v>190</v>
      </c>
      <c r="J74" s="19">
        <v>1650000.0</v>
      </c>
      <c r="K74" s="15" t="s">
        <v>279</v>
      </c>
      <c r="L74" s="15" t="s">
        <v>89</v>
      </c>
      <c r="M74" s="26">
        <v>3.0</v>
      </c>
      <c r="N74" s="5"/>
      <c r="O74" s="5"/>
      <c r="P74" s="5"/>
      <c r="Q74" s="5"/>
      <c r="R74" s="5"/>
      <c r="S74" s="5"/>
      <c r="T74" s="5"/>
    </row>
    <row r="75">
      <c r="A75" s="11" t="s">
        <v>280</v>
      </c>
      <c r="B75" s="15" t="s">
        <v>91</v>
      </c>
      <c r="C75" s="15" t="s">
        <v>281</v>
      </c>
      <c r="D75" s="15" t="s">
        <v>116</v>
      </c>
      <c r="E75" s="15" t="s">
        <v>90</v>
      </c>
      <c r="F75" s="15" t="s">
        <v>233</v>
      </c>
      <c r="G75" s="15" t="s">
        <v>11</v>
      </c>
      <c r="H75" s="18"/>
      <c r="I75" s="15" t="s">
        <v>190</v>
      </c>
      <c r="J75" s="19">
        <v>8000000.0</v>
      </c>
      <c r="K75" s="15" t="s">
        <v>282</v>
      </c>
      <c r="L75" s="15" t="s">
        <v>89</v>
      </c>
      <c r="M75" s="26">
        <v>2.0</v>
      </c>
      <c r="N75" s="5"/>
      <c r="O75" s="5"/>
      <c r="P75" s="5"/>
      <c r="Q75" s="5"/>
      <c r="R75" s="5"/>
      <c r="S75" s="5"/>
      <c r="T75" s="5"/>
    </row>
    <row r="76">
      <c r="A76" s="11" t="s">
        <v>283</v>
      </c>
      <c r="B76" s="15" t="s">
        <v>91</v>
      </c>
      <c r="C76" s="15" t="s">
        <v>284</v>
      </c>
      <c r="D76" s="15" t="s">
        <v>116</v>
      </c>
      <c r="E76" s="15" t="s">
        <v>90</v>
      </c>
      <c r="F76" s="15" t="s">
        <v>233</v>
      </c>
      <c r="G76" s="15" t="s">
        <v>11</v>
      </c>
      <c r="H76" s="18"/>
      <c r="I76" s="15" t="s">
        <v>190</v>
      </c>
      <c r="J76" s="19">
        <v>350000.0</v>
      </c>
      <c r="K76" s="15" t="s">
        <v>285</v>
      </c>
      <c r="L76" s="15" t="s">
        <v>89</v>
      </c>
      <c r="M76" s="26">
        <v>5.0</v>
      </c>
      <c r="N76" s="5"/>
      <c r="O76" s="5"/>
      <c r="P76" s="5"/>
      <c r="Q76" s="5"/>
      <c r="R76" s="5"/>
      <c r="S76" s="5"/>
      <c r="T76" s="5"/>
    </row>
    <row r="77">
      <c r="A77" s="11" t="s">
        <v>286</v>
      </c>
      <c r="B77" s="15" t="s">
        <v>91</v>
      </c>
      <c r="C77" s="15" t="s">
        <v>287</v>
      </c>
      <c r="D77" s="15" t="s">
        <v>116</v>
      </c>
      <c r="E77" s="15" t="s">
        <v>90</v>
      </c>
      <c r="F77" s="15" t="s">
        <v>233</v>
      </c>
      <c r="G77" s="15" t="s">
        <v>11</v>
      </c>
      <c r="H77" s="18"/>
      <c r="I77" s="15" t="s">
        <v>190</v>
      </c>
      <c r="J77" s="19">
        <v>7000000.0</v>
      </c>
      <c r="K77" s="15" t="s">
        <v>288</v>
      </c>
      <c r="L77" s="15" t="s">
        <v>89</v>
      </c>
      <c r="M77" s="26">
        <v>1.0</v>
      </c>
      <c r="N77" s="5"/>
      <c r="O77" s="5"/>
      <c r="P77" s="5"/>
      <c r="Q77" s="5"/>
      <c r="R77" s="5"/>
      <c r="S77" s="5"/>
      <c r="T77" s="5"/>
    </row>
    <row r="78">
      <c r="A78" s="11" t="s">
        <v>289</v>
      </c>
      <c r="B78" s="15" t="s">
        <v>91</v>
      </c>
      <c r="C78" s="15" t="s">
        <v>290</v>
      </c>
      <c r="D78" s="15" t="s">
        <v>116</v>
      </c>
      <c r="E78" s="15" t="s">
        <v>90</v>
      </c>
      <c r="F78" s="15" t="s">
        <v>233</v>
      </c>
      <c r="G78" s="15" t="s">
        <v>11</v>
      </c>
      <c r="H78" s="18"/>
      <c r="I78" s="15" t="s">
        <v>190</v>
      </c>
      <c r="J78" s="19">
        <v>0.0</v>
      </c>
      <c r="K78" s="15" t="s">
        <v>291</v>
      </c>
      <c r="L78" s="15" t="s">
        <v>89</v>
      </c>
      <c r="M78" s="26">
        <v>1.0</v>
      </c>
      <c r="N78" s="5"/>
      <c r="O78" s="5"/>
      <c r="P78" s="5"/>
      <c r="Q78" s="5"/>
      <c r="R78" s="5"/>
      <c r="S78" s="5"/>
      <c r="T78" s="5"/>
    </row>
    <row r="79">
      <c r="A79" s="11" t="s">
        <v>292</v>
      </c>
      <c r="B79" s="15" t="s">
        <v>91</v>
      </c>
      <c r="C79" s="15" t="s">
        <v>293</v>
      </c>
      <c r="D79" s="15" t="s">
        <v>116</v>
      </c>
      <c r="E79" s="15" t="s">
        <v>90</v>
      </c>
      <c r="F79" s="15" t="s">
        <v>233</v>
      </c>
      <c r="G79" s="15" t="s">
        <v>11</v>
      </c>
      <c r="H79" s="18"/>
      <c r="I79" s="15" t="s">
        <v>190</v>
      </c>
      <c r="J79" s="19">
        <v>0.0</v>
      </c>
      <c r="K79" s="15" t="s">
        <v>294</v>
      </c>
      <c r="L79" s="15" t="s">
        <v>89</v>
      </c>
      <c r="M79" s="26">
        <v>1.0</v>
      </c>
      <c r="N79" s="5"/>
      <c r="O79" s="5"/>
      <c r="P79" s="5"/>
      <c r="Q79" s="5"/>
      <c r="R79" s="5"/>
      <c r="S79" s="5"/>
      <c r="T79" s="5"/>
    </row>
    <row r="80">
      <c r="A80" s="11" t="s">
        <v>295</v>
      </c>
      <c r="B80" s="15" t="s">
        <v>91</v>
      </c>
      <c r="C80" s="15" t="s">
        <v>296</v>
      </c>
      <c r="D80" s="15" t="s">
        <v>116</v>
      </c>
      <c r="E80" s="15" t="s">
        <v>90</v>
      </c>
      <c r="F80" s="15" t="s">
        <v>233</v>
      </c>
      <c r="G80" s="15" t="s">
        <v>11</v>
      </c>
      <c r="H80" s="18"/>
      <c r="I80" s="15" t="s">
        <v>190</v>
      </c>
      <c r="J80" s="19">
        <v>0.0</v>
      </c>
      <c r="K80" s="15" t="s">
        <v>285</v>
      </c>
      <c r="L80" s="15" t="s">
        <v>89</v>
      </c>
      <c r="M80" s="26">
        <v>1.0</v>
      </c>
      <c r="N80" s="5"/>
      <c r="O80" s="5"/>
      <c r="P80" s="5"/>
      <c r="Q80" s="5"/>
      <c r="R80" s="5"/>
      <c r="S80" s="5"/>
      <c r="T80" s="5"/>
    </row>
    <row r="81">
      <c r="A81" s="11" t="s">
        <v>297</v>
      </c>
      <c r="B81" s="15" t="s">
        <v>91</v>
      </c>
      <c r="C81" s="15" t="s">
        <v>298</v>
      </c>
      <c r="D81" s="15" t="s">
        <v>116</v>
      </c>
      <c r="E81" s="15" t="s">
        <v>90</v>
      </c>
      <c r="F81" s="15" t="s">
        <v>233</v>
      </c>
      <c r="G81" s="15" t="s">
        <v>11</v>
      </c>
      <c r="H81" s="18"/>
      <c r="I81" s="15" t="s">
        <v>190</v>
      </c>
      <c r="J81" s="19">
        <v>0.0</v>
      </c>
      <c r="K81" s="18"/>
      <c r="L81" s="15" t="s">
        <v>89</v>
      </c>
      <c r="M81" s="26">
        <v>1.0</v>
      </c>
      <c r="N81" s="5"/>
      <c r="O81" s="5"/>
      <c r="P81" s="5"/>
      <c r="Q81" s="5"/>
      <c r="R81" s="5"/>
      <c r="S81" s="5"/>
      <c r="T81" s="5"/>
    </row>
    <row r="82">
      <c r="A82" s="11" t="s">
        <v>299</v>
      </c>
      <c r="B82" s="15" t="s">
        <v>91</v>
      </c>
      <c r="C82" s="15" t="s">
        <v>300</v>
      </c>
      <c r="D82" s="15" t="s">
        <v>116</v>
      </c>
      <c r="E82" s="15" t="s">
        <v>90</v>
      </c>
      <c r="F82" s="15" t="s">
        <v>233</v>
      </c>
      <c r="G82" s="15" t="s">
        <v>11</v>
      </c>
      <c r="H82" s="18"/>
      <c r="I82" s="15" t="s">
        <v>190</v>
      </c>
      <c r="J82" s="19">
        <v>2000000.0</v>
      </c>
      <c r="K82" s="15" t="s">
        <v>301</v>
      </c>
      <c r="L82" s="15" t="s">
        <v>89</v>
      </c>
      <c r="M82" s="26">
        <v>2.0</v>
      </c>
      <c r="N82" s="5"/>
      <c r="O82" s="5"/>
      <c r="P82" s="5"/>
      <c r="Q82" s="5"/>
      <c r="R82" s="5"/>
      <c r="S82" s="5"/>
      <c r="T82" s="5"/>
    </row>
    <row r="83">
      <c r="A83" s="11" t="s">
        <v>302</v>
      </c>
      <c r="B83" s="15" t="s">
        <v>91</v>
      </c>
      <c r="C83" s="15" t="s">
        <v>303</v>
      </c>
      <c r="D83" s="15" t="s">
        <v>116</v>
      </c>
      <c r="E83" s="15" t="s">
        <v>90</v>
      </c>
      <c r="F83" s="15" t="s">
        <v>233</v>
      </c>
      <c r="G83" s="15" t="s">
        <v>11</v>
      </c>
      <c r="H83" s="18"/>
      <c r="I83" s="15" t="s">
        <v>190</v>
      </c>
      <c r="J83" s="19">
        <v>100000.0</v>
      </c>
      <c r="K83" s="15" t="s">
        <v>304</v>
      </c>
      <c r="L83" s="15" t="s">
        <v>89</v>
      </c>
      <c r="M83" s="26">
        <v>1.0</v>
      </c>
      <c r="N83" s="5"/>
      <c r="O83" s="5"/>
      <c r="P83" s="5"/>
      <c r="Q83" s="5"/>
      <c r="R83" s="5"/>
      <c r="S83" s="5"/>
      <c r="T83" s="5"/>
    </row>
    <row r="84">
      <c r="A84" s="11" t="s">
        <v>305</v>
      </c>
      <c r="B84" s="15" t="s">
        <v>91</v>
      </c>
      <c r="C84" s="15" t="s">
        <v>306</v>
      </c>
      <c r="D84" s="15" t="s">
        <v>116</v>
      </c>
      <c r="E84" s="15" t="s">
        <v>90</v>
      </c>
      <c r="F84" s="15" t="s">
        <v>233</v>
      </c>
      <c r="G84" s="15" t="s">
        <v>11</v>
      </c>
      <c r="H84" s="18"/>
      <c r="I84" s="15" t="s">
        <v>190</v>
      </c>
      <c r="J84" s="19">
        <v>250000.0</v>
      </c>
      <c r="K84" s="15" t="s">
        <v>304</v>
      </c>
      <c r="L84" s="15" t="s">
        <v>89</v>
      </c>
      <c r="M84" s="26">
        <v>1.0</v>
      </c>
      <c r="N84" s="5"/>
      <c r="O84" s="5"/>
      <c r="P84" s="5"/>
      <c r="Q84" s="5"/>
      <c r="R84" s="5"/>
      <c r="S84" s="5"/>
      <c r="T84" s="5"/>
    </row>
    <row r="85">
      <c r="A85" s="11" t="s">
        <v>307</v>
      </c>
      <c r="B85" s="15" t="s">
        <v>91</v>
      </c>
      <c r="C85" s="15" t="s">
        <v>308</v>
      </c>
      <c r="D85" s="15" t="s">
        <v>116</v>
      </c>
      <c r="E85" s="15" t="s">
        <v>90</v>
      </c>
      <c r="F85" s="15" t="s">
        <v>233</v>
      </c>
      <c r="G85" s="15" t="s">
        <v>11</v>
      </c>
      <c r="H85" s="18"/>
      <c r="I85" s="15" t="s">
        <v>190</v>
      </c>
      <c r="J85" s="19">
        <v>30000.0</v>
      </c>
      <c r="K85" s="15" t="s">
        <v>304</v>
      </c>
      <c r="L85" s="15" t="s">
        <v>89</v>
      </c>
      <c r="M85" s="26">
        <v>1.0</v>
      </c>
      <c r="N85" s="5"/>
      <c r="O85" s="5"/>
      <c r="P85" s="5"/>
      <c r="Q85" s="5"/>
      <c r="R85" s="5"/>
      <c r="S85" s="5"/>
      <c r="T85" s="5"/>
    </row>
    <row r="86">
      <c r="A86" s="11" t="s">
        <v>309</v>
      </c>
      <c r="B86" s="15" t="s">
        <v>91</v>
      </c>
      <c r="C86" s="15" t="s">
        <v>310</v>
      </c>
      <c r="D86" s="15" t="s">
        <v>116</v>
      </c>
      <c r="E86" s="15" t="s">
        <v>90</v>
      </c>
      <c r="F86" s="15" t="s">
        <v>233</v>
      </c>
      <c r="G86" s="15" t="s">
        <v>11</v>
      </c>
      <c r="H86" s="18"/>
      <c r="I86" s="15" t="s">
        <v>190</v>
      </c>
      <c r="J86" s="19">
        <v>400000.0</v>
      </c>
      <c r="K86" s="15" t="s">
        <v>304</v>
      </c>
      <c r="L86" s="15" t="s">
        <v>89</v>
      </c>
      <c r="M86" s="26">
        <v>1.0</v>
      </c>
      <c r="N86" s="5"/>
      <c r="O86" s="5"/>
      <c r="P86" s="5"/>
      <c r="Q86" s="5"/>
      <c r="R86" s="5"/>
      <c r="S86" s="5"/>
      <c r="T86" s="5"/>
    </row>
    <row r="87">
      <c r="A87" s="11" t="s">
        <v>311</v>
      </c>
      <c r="B87" s="15" t="s">
        <v>91</v>
      </c>
      <c r="C87" s="15" t="s">
        <v>312</v>
      </c>
      <c r="D87" s="15" t="s">
        <v>116</v>
      </c>
      <c r="E87" s="15" t="s">
        <v>90</v>
      </c>
      <c r="F87" s="15" t="s">
        <v>233</v>
      </c>
      <c r="G87" s="15" t="s">
        <v>11</v>
      </c>
      <c r="H87" s="18"/>
      <c r="I87" s="15" t="s">
        <v>190</v>
      </c>
      <c r="J87" s="19">
        <v>50000.0</v>
      </c>
      <c r="K87" s="15" t="s">
        <v>304</v>
      </c>
      <c r="L87" s="15" t="s">
        <v>89</v>
      </c>
      <c r="M87" s="26">
        <v>1.0</v>
      </c>
      <c r="N87" s="5"/>
      <c r="O87" s="5"/>
      <c r="P87" s="5"/>
      <c r="Q87" s="5"/>
      <c r="R87" s="5"/>
      <c r="S87" s="5"/>
      <c r="T87" s="5"/>
    </row>
    <row r="88">
      <c r="A88" s="11" t="s">
        <v>313</v>
      </c>
      <c r="B88" s="15" t="s">
        <v>91</v>
      </c>
      <c r="C88" s="15" t="s">
        <v>314</v>
      </c>
      <c r="D88" s="15" t="s">
        <v>116</v>
      </c>
      <c r="E88" s="15" t="s">
        <v>90</v>
      </c>
      <c r="F88" s="15" t="s">
        <v>233</v>
      </c>
      <c r="G88" s="15" t="s">
        <v>11</v>
      </c>
      <c r="H88" s="18"/>
      <c r="I88" s="15" t="s">
        <v>190</v>
      </c>
      <c r="J88" s="19">
        <v>400000.0</v>
      </c>
      <c r="K88" s="15" t="s">
        <v>315</v>
      </c>
      <c r="L88" s="15" t="s">
        <v>89</v>
      </c>
      <c r="M88" s="26">
        <v>2.0</v>
      </c>
      <c r="N88" s="5"/>
      <c r="O88" s="5"/>
      <c r="P88" s="5"/>
      <c r="Q88" s="5"/>
      <c r="R88" s="5"/>
      <c r="S88" s="5"/>
      <c r="T88" s="5"/>
    </row>
    <row r="89">
      <c r="A89" s="11" t="s">
        <v>316</v>
      </c>
      <c r="B89" s="15" t="s">
        <v>91</v>
      </c>
      <c r="C89" s="15" t="s">
        <v>317</v>
      </c>
      <c r="D89" s="15" t="s">
        <v>116</v>
      </c>
      <c r="E89" s="15" t="s">
        <v>90</v>
      </c>
      <c r="F89" s="15" t="s">
        <v>233</v>
      </c>
      <c r="G89" s="15" t="s">
        <v>11</v>
      </c>
      <c r="H89" s="18"/>
      <c r="I89" s="15" t="s">
        <v>190</v>
      </c>
      <c r="J89" s="19">
        <v>160000.0</v>
      </c>
      <c r="K89" s="15" t="s">
        <v>315</v>
      </c>
      <c r="L89" s="15" t="s">
        <v>89</v>
      </c>
      <c r="M89" s="26">
        <v>2.0</v>
      </c>
      <c r="N89" s="5"/>
      <c r="O89" s="5"/>
      <c r="P89" s="5"/>
      <c r="Q89" s="5"/>
      <c r="R89" s="5"/>
      <c r="S89" s="5"/>
      <c r="T89" s="5"/>
    </row>
    <row r="90">
      <c r="A90" s="11" t="s">
        <v>318</v>
      </c>
      <c r="B90" s="15" t="s">
        <v>91</v>
      </c>
      <c r="C90" s="15" t="s">
        <v>319</v>
      </c>
      <c r="D90" s="15" t="s">
        <v>116</v>
      </c>
      <c r="E90" s="15" t="s">
        <v>90</v>
      </c>
      <c r="F90" s="15" t="s">
        <v>233</v>
      </c>
      <c r="G90" s="15" t="s">
        <v>11</v>
      </c>
      <c r="H90" s="18"/>
      <c r="I90" s="15" t="s">
        <v>190</v>
      </c>
      <c r="J90" s="19">
        <v>300000.0</v>
      </c>
      <c r="K90" s="15" t="s">
        <v>315</v>
      </c>
      <c r="L90" s="15" t="s">
        <v>89</v>
      </c>
      <c r="M90" s="26">
        <v>2.0</v>
      </c>
      <c r="N90" s="5"/>
      <c r="O90" s="5"/>
      <c r="P90" s="5"/>
      <c r="Q90" s="5"/>
      <c r="R90" s="5"/>
      <c r="S90" s="5"/>
      <c r="T90" s="5"/>
    </row>
    <row r="91">
      <c r="A91" s="11" t="s">
        <v>320</v>
      </c>
      <c r="B91" s="15" t="s">
        <v>91</v>
      </c>
      <c r="C91" s="15" t="s">
        <v>321</v>
      </c>
      <c r="D91" s="15" t="s">
        <v>116</v>
      </c>
      <c r="E91" s="15" t="s">
        <v>90</v>
      </c>
      <c r="F91" s="15" t="s">
        <v>233</v>
      </c>
      <c r="G91" s="15" t="s">
        <v>11</v>
      </c>
      <c r="H91" s="18"/>
      <c r="I91" s="15" t="s">
        <v>190</v>
      </c>
      <c r="J91" s="19">
        <v>400000.0</v>
      </c>
      <c r="K91" s="15" t="s">
        <v>315</v>
      </c>
      <c r="L91" s="15" t="s">
        <v>89</v>
      </c>
      <c r="M91" s="26">
        <v>2.0</v>
      </c>
      <c r="N91" s="5"/>
      <c r="O91" s="5"/>
      <c r="P91" s="5"/>
      <c r="Q91" s="5"/>
      <c r="R91" s="5"/>
      <c r="S91" s="5"/>
      <c r="T91" s="5"/>
    </row>
    <row r="92">
      <c r="A92" s="11" t="s">
        <v>322</v>
      </c>
      <c r="B92" s="15" t="s">
        <v>91</v>
      </c>
      <c r="C92" s="15" t="s">
        <v>323</v>
      </c>
      <c r="D92" s="15" t="s">
        <v>116</v>
      </c>
      <c r="E92" s="15" t="s">
        <v>90</v>
      </c>
      <c r="F92" s="15" t="s">
        <v>233</v>
      </c>
      <c r="G92" s="15" t="s">
        <v>11</v>
      </c>
      <c r="H92" s="18"/>
      <c r="I92" s="15" t="s">
        <v>190</v>
      </c>
      <c r="J92" s="19">
        <v>80000.0</v>
      </c>
      <c r="K92" s="15" t="s">
        <v>315</v>
      </c>
      <c r="L92" s="15" t="s">
        <v>89</v>
      </c>
      <c r="M92" s="26">
        <v>2.0</v>
      </c>
      <c r="N92" s="5"/>
      <c r="O92" s="5"/>
      <c r="P92" s="5"/>
      <c r="Q92" s="5"/>
      <c r="R92" s="5"/>
      <c r="S92" s="5"/>
      <c r="T92" s="5"/>
    </row>
    <row r="93">
      <c r="A93" s="11" t="s">
        <v>324</v>
      </c>
      <c r="B93" s="15" t="s">
        <v>91</v>
      </c>
      <c r="C93" s="15" t="s">
        <v>325</v>
      </c>
      <c r="D93" s="15" t="s">
        <v>116</v>
      </c>
      <c r="E93" s="15" t="s">
        <v>90</v>
      </c>
      <c r="F93" s="15" t="s">
        <v>233</v>
      </c>
      <c r="G93" s="15" t="s">
        <v>11</v>
      </c>
      <c r="H93" s="18"/>
      <c r="I93" s="15" t="s">
        <v>190</v>
      </c>
      <c r="J93" s="19">
        <v>150000.0</v>
      </c>
      <c r="K93" s="15" t="s">
        <v>315</v>
      </c>
      <c r="L93" s="15" t="s">
        <v>89</v>
      </c>
      <c r="M93" s="26">
        <v>1.0</v>
      </c>
      <c r="N93" s="5"/>
      <c r="O93" s="5"/>
      <c r="P93" s="5"/>
      <c r="Q93" s="5"/>
      <c r="R93" s="5"/>
      <c r="S93" s="5"/>
      <c r="T93" s="5"/>
    </row>
    <row r="94">
      <c r="A94" s="11" t="s">
        <v>326</v>
      </c>
      <c r="B94" s="15" t="s">
        <v>91</v>
      </c>
      <c r="C94" s="15" t="s">
        <v>327</v>
      </c>
      <c r="D94" s="15" t="s">
        <v>116</v>
      </c>
      <c r="E94" s="15" t="s">
        <v>90</v>
      </c>
      <c r="F94" s="15" t="s">
        <v>233</v>
      </c>
      <c r="G94" s="15" t="s">
        <v>11</v>
      </c>
      <c r="H94" s="18"/>
      <c r="I94" s="15" t="s">
        <v>190</v>
      </c>
      <c r="J94" s="19">
        <v>500000.0</v>
      </c>
      <c r="K94" s="15" t="s">
        <v>328</v>
      </c>
      <c r="L94" s="15" t="s">
        <v>89</v>
      </c>
      <c r="M94" s="26">
        <v>10.0</v>
      </c>
      <c r="N94" s="5"/>
      <c r="O94" s="5"/>
      <c r="P94" s="5"/>
      <c r="Q94" s="5"/>
      <c r="R94" s="5"/>
      <c r="S94" s="5"/>
      <c r="T94" s="5"/>
    </row>
    <row r="95">
      <c r="A95" s="11" t="s">
        <v>329</v>
      </c>
      <c r="B95" s="15" t="s">
        <v>91</v>
      </c>
      <c r="C95" s="15" t="s">
        <v>330</v>
      </c>
      <c r="D95" s="15" t="s">
        <v>116</v>
      </c>
      <c r="E95" s="15" t="s">
        <v>90</v>
      </c>
      <c r="F95" s="15" t="s">
        <v>233</v>
      </c>
      <c r="G95" s="15" t="s">
        <v>11</v>
      </c>
      <c r="H95" s="18"/>
      <c r="I95" s="15" t="s">
        <v>190</v>
      </c>
      <c r="J95" s="19">
        <v>1800000.0</v>
      </c>
      <c r="K95" s="15" t="s">
        <v>328</v>
      </c>
      <c r="L95" s="15" t="s">
        <v>89</v>
      </c>
      <c r="M95" s="26">
        <v>12.0</v>
      </c>
      <c r="N95" s="5"/>
      <c r="O95" s="5"/>
      <c r="P95" s="5"/>
      <c r="Q95" s="5"/>
      <c r="R95" s="5"/>
      <c r="S95" s="5"/>
      <c r="T95" s="5"/>
    </row>
    <row r="96">
      <c r="A96" s="11" t="s">
        <v>331</v>
      </c>
      <c r="B96" s="15" t="s">
        <v>91</v>
      </c>
      <c r="C96" s="15" t="s">
        <v>332</v>
      </c>
      <c r="D96" s="15" t="s">
        <v>116</v>
      </c>
      <c r="E96" s="15" t="s">
        <v>90</v>
      </c>
      <c r="F96" s="15" t="s">
        <v>233</v>
      </c>
      <c r="G96" s="15" t="s">
        <v>11</v>
      </c>
      <c r="H96" s="18"/>
      <c r="I96" s="15" t="s">
        <v>190</v>
      </c>
      <c r="J96" s="19">
        <v>900000.0</v>
      </c>
      <c r="K96" s="15" t="s">
        <v>328</v>
      </c>
      <c r="L96" s="15" t="s">
        <v>89</v>
      </c>
      <c r="M96" s="26">
        <v>6.0</v>
      </c>
      <c r="N96" s="5"/>
      <c r="O96" s="5"/>
      <c r="P96" s="5"/>
      <c r="Q96" s="5"/>
      <c r="R96" s="5"/>
      <c r="S96" s="5"/>
      <c r="T96" s="5"/>
    </row>
    <row r="97">
      <c r="A97" s="11" t="s">
        <v>333</v>
      </c>
      <c r="B97" s="15" t="s">
        <v>91</v>
      </c>
      <c r="C97" s="15" t="s">
        <v>334</v>
      </c>
      <c r="D97" s="15" t="s">
        <v>116</v>
      </c>
      <c r="E97" s="15" t="s">
        <v>90</v>
      </c>
      <c r="F97" s="15" t="s">
        <v>233</v>
      </c>
      <c r="G97" s="15" t="s">
        <v>11</v>
      </c>
      <c r="H97" s="18"/>
      <c r="I97" s="15" t="s">
        <v>190</v>
      </c>
      <c r="J97" s="19">
        <v>1800000.0</v>
      </c>
      <c r="K97" s="15" t="s">
        <v>328</v>
      </c>
      <c r="L97" s="15" t="s">
        <v>89</v>
      </c>
      <c r="M97" s="26">
        <v>18.0</v>
      </c>
      <c r="N97" s="5"/>
      <c r="O97" s="5"/>
      <c r="P97" s="5"/>
      <c r="Q97" s="5"/>
      <c r="R97" s="5"/>
      <c r="S97" s="5"/>
      <c r="T97" s="5"/>
    </row>
    <row r="98">
      <c r="A98" s="11" t="s">
        <v>335</v>
      </c>
      <c r="B98" s="15" t="s">
        <v>91</v>
      </c>
      <c r="C98" s="15" t="s">
        <v>336</v>
      </c>
      <c r="D98" s="15" t="s">
        <v>116</v>
      </c>
      <c r="E98" s="15" t="s">
        <v>90</v>
      </c>
      <c r="F98" s="15" t="s">
        <v>233</v>
      </c>
      <c r="G98" s="15" t="s">
        <v>11</v>
      </c>
      <c r="H98" s="18"/>
      <c r="I98" s="15" t="s">
        <v>190</v>
      </c>
      <c r="J98" s="19">
        <v>80000.0</v>
      </c>
      <c r="K98" s="15" t="s">
        <v>328</v>
      </c>
      <c r="L98" s="15" t="s">
        <v>89</v>
      </c>
      <c r="M98" s="26">
        <v>4.0</v>
      </c>
      <c r="N98" s="5"/>
      <c r="O98" s="5"/>
      <c r="P98" s="5"/>
      <c r="Q98" s="5"/>
      <c r="R98" s="5"/>
      <c r="S98" s="5"/>
      <c r="T98" s="5"/>
    </row>
    <row r="99">
      <c r="A99" s="11" t="s">
        <v>337</v>
      </c>
      <c r="B99" s="15" t="s">
        <v>91</v>
      </c>
      <c r="C99" s="15" t="s">
        <v>338</v>
      </c>
      <c r="D99" s="15" t="s">
        <v>116</v>
      </c>
      <c r="E99" s="15" t="s">
        <v>90</v>
      </c>
      <c r="F99" s="15" t="s">
        <v>233</v>
      </c>
      <c r="G99" s="15" t="s">
        <v>11</v>
      </c>
      <c r="H99" s="18"/>
      <c r="I99" s="15" t="s">
        <v>190</v>
      </c>
      <c r="J99" s="19">
        <v>1140000.0</v>
      </c>
      <c r="K99" s="15" t="s">
        <v>339</v>
      </c>
      <c r="L99" s="15" t="s">
        <v>89</v>
      </c>
      <c r="M99" s="26">
        <v>19.0</v>
      </c>
      <c r="N99" s="5"/>
      <c r="O99" s="5"/>
      <c r="P99" s="5"/>
      <c r="Q99" s="5"/>
      <c r="R99" s="5"/>
      <c r="S99" s="5"/>
      <c r="T99" s="5"/>
    </row>
    <row r="100">
      <c r="A100" s="11" t="s">
        <v>340</v>
      </c>
      <c r="B100" s="15" t="s">
        <v>91</v>
      </c>
      <c r="C100" s="15" t="s">
        <v>341</v>
      </c>
      <c r="D100" s="15" t="s">
        <v>116</v>
      </c>
      <c r="E100" s="15" t="s">
        <v>90</v>
      </c>
      <c r="F100" s="15" t="s">
        <v>233</v>
      </c>
      <c r="G100" s="15" t="s">
        <v>11</v>
      </c>
      <c r="H100" s="18"/>
      <c r="I100" s="15" t="s">
        <v>190</v>
      </c>
      <c r="J100" s="19">
        <v>0.0</v>
      </c>
      <c r="K100" s="15"/>
      <c r="L100" s="15" t="s">
        <v>89</v>
      </c>
      <c r="M100" s="26">
        <v>1.0</v>
      </c>
      <c r="N100" s="5"/>
      <c r="O100" s="5"/>
      <c r="P100" s="5"/>
      <c r="Q100" s="5"/>
      <c r="R100" s="5"/>
      <c r="S100" s="5"/>
      <c r="T100" s="5"/>
    </row>
    <row r="101">
      <c r="A101" s="11" t="s">
        <v>342</v>
      </c>
      <c r="B101" s="15" t="s">
        <v>91</v>
      </c>
      <c r="C101" s="15" t="s">
        <v>343</v>
      </c>
      <c r="D101" s="15" t="s">
        <v>116</v>
      </c>
      <c r="E101" s="15" t="s">
        <v>90</v>
      </c>
      <c r="F101" s="15" t="s">
        <v>233</v>
      </c>
      <c r="G101" s="15" t="s">
        <v>11</v>
      </c>
      <c r="H101" s="18"/>
      <c r="I101" s="15" t="s">
        <v>190</v>
      </c>
      <c r="J101" s="19">
        <v>0.0</v>
      </c>
      <c r="K101" s="15"/>
      <c r="L101" s="15" t="s">
        <v>89</v>
      </c>
      <c r="M101" s="26">
        <v>1.0</v>
      </c>
      <c r="N101" s="5"/>
      <c r="O101" s="5"/>
      <c r="P101" s="5"/>
      <c r="Q101" s="5"/>
      <c r="R101" s="5"/>
      <c r="S101" s="5"/>
      <c r="T101" s="5"/>
    </row>
    <row r="102">
      <c r="A102" s="11" t="s">
        <v>344</v>
      </c>
      <c r="B102" s="15" t="s">
        <v>91</v>
      </c>
      <c r="C102" s="15" t="s">
        <v>345</v>
      </c>
      <c r="D102" s="15" t="s">
        <v>116</v>
      </c>
      <c r="E102" s="15" t="s">
        <v>90</v>
      </c>
      <c r="F102" s="15" t="s">
        <v>233</v>
      </c>
      <c r="G102" s="15" t="s">
        <v>11</v>
      </c>
      <c r="H102" s="18"/>
      <c r="I102" s="15" t="s">
        <v>190</v>
      </c>
      <c r="J102" s="19">
        <v>200000.0</v>
      </c>
      <c r="K102" s="15" t="s">
        <v>346</v>
      </c>
      <c r="L102" s="15" t="s">
        <v>89</v>
      </c>
      <c r="M102" s="26">
        <v>1.0</v>
      </c>
      <c r="N102" s="5"/>
      <c r="O102" s="5"/>
      <c r="P102" s="5"/>
      <c r="Q102" s="5"/>
      <c r="R102" s="5"/>
      <c r="S102" s="5"/>
      <c r="T102" s="5"/>
    </row>
    <row r="103">
      <c r="A103" s="11" t="s">
        <v>347</v>
      </c>
      <c r="B103" s="15" t="s">
        <v>91</v>
      </c>
      <c r="C103" s="15" t="s">
        <v>348</v>
      </c>
      <c r="D103" s="15" t="s">
        <v>116</v>
      </c>
      <c r="E103" s="15" t="s">
        <v>90</v>
      </c>
      <c r="F103" s="15" t="s">
        <v>233</v>
      </c>
      <c r="G103" s="15" t="s">
        <v>11</v>
      </c>
      <c r="H103" s="18"/>
      <c r="I103" s="15" t="s">
        <v>190</v>
      </c>
      <c r="J103" s="19">
        <v>0.0</v>
      </c>
      <c r="K103" s="15" t="s">
        <v>346</v>
      </c>
      <c r="L103" s="15" t="s">
        <v>89</v>
      </c>
      <c r="M103" s="26">
        <v>1.0</v>
      </c>
      <c r="N103" s="5"/>
      <c r="O103" s="5"/>
      <c r="P103" s="5"/>
      <c r="Q103" s="5"/>
      <c r="R103" s="5"/>
      <c r="S103" s="5"/>
      <c r="T103" s="5"/>
    </row>
    <row r="104">
      <c r="A104" s="11" t="s">
        <v>349</v>
      </c>
      <c r="B104" s="15" t="s">
        <v>91</v>
      </c>
      <c r="C104" s="15" t="s">
        <v>350</v>
      </c>
      <c r="D104" s="15" t="s">
        <v>116</v>
      </c>
      <c r="E104" s="15" t="s">
        <v>90</v>
      </c>
      <c r="F104" s="15" t="s">
        <v>233</v>
      </c>
      <c r="G104" s="15" t="s">
        <v>11</v>
      </c>
      <c r="H104" s="18"/>
      <c r="I104" s="15" t="s">
        <v>190</v>
      </c>
      <c r="J104" s="19">
        <v>9000000.0</v>
      </c>
      <c r="K104" s="15" t="s">
        <v>351</v>
      </c>
      <c r="L104" s="15" t="s">
        <v>89</v>
      </c>
      <c r="M104" s="26">
        <v>3.0</v>
      </c>
      <c r="N104" s="5"/>
      <c r="O104" s="5"/>
      <c r="P104" s="5"/>
      <c r="Q104" s="5"/>
      <c r="R104" s="5"/>
      <c r="S104" s="5"/>
      <c r="T104" s="5"/>
    </row>
    <row r="105">
      <c r="A105" s="11" t="s">
        <v>352</v>
      </c>
      <c r="B105" s="15" t="s">
        <v>91</v>
      </c>
      <c r="C105" s="15" t="s">
        <v>353</v>
      </c>
      <c r="D105" s="15" t="s">
        <v>116</v>
      </c>
      <c r="E105" s="15" t="s">
        <v>90</v>
      </c>
      <c r="F105" s="15" t="s">
        <v>233</v>
      </c>
      <c r="G105" s="15" t="s">
        <v>11</v>
      </c>
      <c r="H105" s="18"/>
      <c r="I105" s="15" t="s">
        <v>190</v>
      </c>
      <c r="J105" s="19">
        <v>3300000.0</v>
      </c>
      <c r="K105" s="15" t="s">
        <v>354</v>
      </c>
      <c r="L105" s="15" t="s">
        <v>89</v>
      </c>
      <c r="M105" s="26">
        <v>3.0</v>
      </c>
      <c r="N105" s="5"/>
      <c r="O105" s="5"/>
      <c r="P105" s="5"/>
      <c r="Q105" s="5"/>
      <c r="R105" s="5"/>
      <c r="S105" s="5"/>
      <c r="T105" s="5"/>
    </row>
    <row r="106">
      <c r="A106" s="11" t="s">
        <v>355</v>
      </c>
      <c r="B106" s="15" t="s">
        <v>91</v>
      </c>
      <c r="C106" s="15" t="s">
        <v>356</v>
      </c>
      <c r="D106" s="15" t="s">
        <v>116</v>
      </c>
      <c r="E106" s="15" t="s">
        <v>90</v>
      </c>
      <c r="F106" s="15" t="s">
        <v>233</v>
      </c>
      <c r="G106" s="15" t="s">
        <v>11</v>
      </c>
      <c r="H106" s="18"/>
      <c r="I106" s="15" t="s">
        <v>190</v>
      </c>
      <c r="J106" s="19">
        <v>0.0</v>
      </c>
      <c r="K106" s="15" t="s">
        <v>357</v>
      </c>
      <c r="L106" s="15" t="s">
        <v>89</v>
      </c>
      <c r="M106" s="26">
        <v>1.0</v>
      </c>
      <c r="N106" s="5"/>
      <c r="O106" s="5"/>
      <c r="P106" s="5"/>
      <c r="Q106" s="5"/>
      <c r="R106" s="5"/>
      <c r="S106" s="5"/>
      <c r="T106" s="5"/>
    </row>
    <row r="107">
      <c r="A107" s="11" t="s">
        <v>358</v>
      </c>
      <c r="B107" s="15" t="s">
        <v>91</v>
      </c>
      <c r="C107" s="15" t="s">
        <v>359</v>
      </c>
      <c r="D107" s="15" t="s">
        <v>116</v>
      </c>
      <c r="E107" s="15" t="s">
        <v>90</v>
      </c>
      <c r="F107" s="15" t="s">
        <v>233</v>
      </c>
      <c r="G107" s="15" t="s">
        <v>11</v>
      </c>
      <c r="H107" s="18"/>
      <c r="I107" s="15" t="s">
        <v>190</v>
      </c>
      <c r="J107" s="19">
        <v>510000.0</v>
      </c>
      <c r="K107" s="15" t="s">
        <v>360</v>
      </c>
      <c r="L107" s="15" t="s">
        <v>89</v>
      </c>
      <c r="M107" s="26">
        <v>3.0</v>
      </c>
      <c r="N107" s="5"/>
      <c r="O107" s="5"/>
      <c r="P107" s="5"/>
      <c r="Q107" s="5"/>
      <c r="R107" s="5"/>
      <c r="S107" s="5"/>
      <c r="T107" s="5"/>
    </row>
    <row r="108">
      <c r="A108" s="11" t="s">
        <v>361</v>
      </c>
      <c r="B108" s="15" t="s">
        <v>91</v>
      </c>
      <c r="C108" s="15" t="s">
        <v>362</v>
      </c>
      <c r="D108" s="15" t="s">
        <v>116</v>
      </c>
      <c r="E108" s="15" t="s">
        <v>90</v>
      </c>
      <c r="F108" s="15" t="s">
        <v>233</v>
      </c>
      <c r="G108" s="15" t="s">
        <v>11</v>
      </c>
      <c r="H108" s="18"/>
      <c r="I108" s="15" t="s">
        <v>190</v>
      </c>
      <c r="J108" s="19">
        <v>3000000.0</v>
      </c>
      <c r="K108" s="15" t="s">
        <v>363</v>
      </c>
      <c r="L108" s="15" t="s">
        <v>89</v>
      </c>
      <c r="M108" s="26">
        <v>3.0</v>
      </c>
      <c r="N108" s="5"/>
      <c r="O108" s="5"/>
      <c r="P108" s="5"/>
      <c r="Q108" s="5"/>
      <c r="R108" s="5"/>
      <c r="S108" s="5"/>
      <c r="T108" s="5"/>
    </row>
    <row r="109">
      <c r="A109" s="11" t="s">
        <v>364</v>
      </c>
      <c r="B109" s="15" t="s">
        <v>91</v>
      </c>
      <c r="C109" s="15" t="s">
        <v>365</v>
      </c>
      <c r="D109" s="15" t="s">
        <v>116</v>
      </c>
      <c r="E109" s="15" t="s">
        <v>90</v>
      </c>
      <c r="F109" s="15" t="s">
        <v>233</v>
      </c>
      <c r="G109" s="15" t="s">
        <v>11</v>
      </c>
      <c r="H109" s="18"/>
      <c r="I109" s="15" t="s">
        <v>190</v>
      </c>
      <c r="J109" s="19">
        <v>600000.0</v>
      </c>
      <c r="K109" s="15" t="s">
        <v>366</v>
      </c>
      <c r="L109" s="15" t="s">
        <v>89</v>
      </c>
      <c r="M109" s="26">
        <v>2.0</v>
      </c>
      <c r="N109" s="5"/>
      <c r="O109" s="5"/>
      <c r="P109" s="5"/>
      <c r="Q109" s="5"/>
      <c r="R109" s="5"/>
      <c r="S109" s="5"/>
      <c r="T109" s="5"/>
    </row>
    <row r="110">
      <c r="A110" s="11" t="s">
        <v>367</v>
      </c>
      <c r="B110" s="15" t="s">
        <v>91</v>
      </c>
      <c r="C110" s="15" t="s">
        <v>368</v>
      </c>
      <c r="D110" s="15" t="s">
        <v>116</v>
      </c>
      <c r="E110" s="15" t="s">
        <v>90</v>
      </c>
      <c r="F110" s="15" t="s">
        <v>233</v>
      </c>
      <c r="G110" s="15" t="s">
        <v>11</v>
      </c>
      <c r="H110" s="18"/>
      <c r="I110" s="15" t="s">
        <v>190</v>
      </c>
      <c r="J110" s="19">
        <v>4500000.0</v>
      </c>
      <c r="K110" s="15" t="s">
        <v>369</v>
      </c>
      <c r="L110" s="15" t="s">
        <v>89</v>
      </c>
      <c r="M110" s="26">
        <v>1.0</v>
      </c>
      <c r="N110" s="5"/>
      <c r="O110" s="5"/>
      <c r="P110" s="5"/>
      <c r="Q110" s="5"/>
      <c r="R110" s="5"/>
      <c r="S110" s="5"/>
      <c r="T110" s="5"/>
    </row>
    <row r="111">
      <c r="A111" s="11" t="s">
        <v>370</v>
      </c>
      <c r="B111" s="15" t="s">
        <v>91</v>
      </c>
      <c r="C111" s="15" t="s">
        <v>371</v>
      </c>
      <c r="D111" s="15" t="s">
        <v>116</v>
      </c>
      <c r="E111" s="15" t="s">
        <v>90</v>
      </c>
      <c r="F111" s="15" t="s">
        <v>233</v>
      </c>
      <c r="G111" s="15" t="s">
        <v>11</v>
      </c>
      <c r="H111" s="18"/>
      <c r="I111" s="15" t="s">
        <v>190</v>
      </c>
      <c r="J111" s="19">
        <v>340000.0</v>
      </c>
      <c r="K111" s="15" t="s">
        <v>372</v>
      </c>
      <c r="L111" s="15" t="s">
        <v>89</v>
      </c>
      <c r="M111" s="26">
        <v>2.0</v>
      </c>
      <c r="N111" s="5"/>
      <c r="O111" s="5"/>
      <c r="P111" s="5"/>
      <c r="Q111" s="5"/>
      <c r="R111" s="5"/>
      <c r="S111" s="5"/>
      <c r="T111" s="5"/>
    </row>
    <row r="112">
      <c r="A112" s="11" t="s">
        <v>373</v>
      </c>
      <c r="B112" s="15" t="s">
        <v>91</v>
      </c>
      <c r="C112" s="15" t="s">
        <v>374</v>
      </c>
      <c r="D112" s="15" t="s">
        <v>116</v>
      </c>
      <c r="E112" s="15" t="s">
        <v>90</v>
      </c>
      <c r="F112" s="15" t="s">
        <v>233</v>
      </c>
      <c r="G112" s="15" t="s">
        <v>11</v>
      </c>
      <c r="H112" s="18"/>
      <c r="I112" s="15" t="s">
        <v>190</v>
      </c>
      <c r="J112" s="19"/>
      <c r="K112" s="15"/>
      <c r="L112" s="15" t="s">
        <v>89</v>
      </c>
      <c r="M112" s="26">
        <v>1.0</v>
      </c>
      <c r="N112" s="5"/>
      <c r="O112" s="5"/>
      <c r="P112" s="5"/>
      <c r="Q112" s="5"/>
      <c r="R112" s="5"/>
      <c r="S112" s="5"/>
      <c r="T112" s="5"/>
    </row>
    <row r="113">
      <c r="A113" s="11" t="s">
        <v>375</v>
      </c>
      <c r="B113" s="15" t="s">
        <v>91</v>
      </c>
      <c r="C113" s="15" t="s">
        <v>376</v>
      </c>
      <c r="D113" s="15" t="s">
        <v>116</v>
      </c>
      <c r="E113" s="15" t="s">
        <v>90</v>
      </c>
      <c r="F113" s="15" t="s">
        <v>233</v>
      </c>
      <c r="G113" s="15" t="s">
        <v>11</v>
      </c>
      <c r="H113" s="18"/>
      <c r="I113" s="15" t="s">
        <v>190</v>
      </c>
      <c r="J113" s="19"/>
      <c r="K113" s="15"/>
      <c r="L113" s="15" t="s">
        <v>89</v>
      </c>
      <c r="M113" s="26">
        <v>1.0</v>
      </c>
      <c r="N113" s="5"/>
      <c r="O113" s="5"/>
      <c r="P113" s="5"/>
      <c r="Q113" s="5"/>
      <c r="R113" s="5"/>
      <c r="S113" s="5"/>
      <c r="T113" s="5"/>
    </row>
    <row r="114">
      <c r="A114" s="11" t="s">
        <v>377</v>
      </c>
      <c r="B114" s="15" t="s">
        <v>91</v>
      </c>
      <c r="C114" s="15" t="s">
        <v>378</v>
      </c>
      <c r="D114" s="15" t="s">
        <v>116</v>
      </c>
      <c r="E114" s="15" t="s">
        <v>90</v>
      </c>
      <c r="F114" s="15" t="s">
        <v>233</v>
      </c>
      <c r="G114" s="15" t="s">
        <v>11</v>
      </c>
      <c r="H114" s="18"/>
      <c r="I114" s="15" t="s">
        <v>190</v>
      </c>
      <c r="J114" s="19"/>
      <c r="K114" s="15"/>
      <c r="L114" s="15" t="s">
        <v>89</v>
      </c>
      <c r="M114" s="26">
        <v>1.0</v>
      </c>
      <c r="N114" s="5"/>
      <c r="O114" s="5"/>
      <c r="P114" s="5"/>
      <c r="Q114" s="5"/>
      <c r="R114" s="5"/>
      <c r="S114" s="5"/>
      <c r="T114" s="5"/>
    </row>
    <row r="115">
      <c r="A115" s="11" t="s">
        <v>379</v>
      </c>
      <c r="B115" s="15" t="s">
        <v>91</v>
      </c>
      <c r="C115" s="15" t="s">
        <v>380</v>
      </c>
      <c r="D115" s="15" t="s">
        <v>116</v>
      </c>
      <c r="E115" s="15" t="s">
        <v>90</v>
      </c>
      <c r="F115" s="15" t="s">
        <v>233</v>
      </c>
      <c r="G115" s="15" t="s">
        <v>11</v>
      </c>
      <c r="H115" s="18"/>
      <c r="I115" s="15" t="s">
        <v>190</v>
      </c>
      <c r="J115" s="19"/>
      <c r="K115" s="15"/>
      <c r="L115" s="15" t="s">
        <v>89</v>
      </c>
      <c r="M115" s="26">
        <v>1.0</v>
      </c>
      <c r="N115" s="5"/>
      <c r="O115" s="5"/>
      <c r="P115" s="5"/>
      <c r="Q115" s="5"/>
      <c r="R115" s="5"/>
      <c r="S115" s="5"/>
      <c r="T115" s="5"/>
    </row>
    <row r="116">
      <c r="A116" s="11" t="s">
        <v>381</v>
      </c>
      <c r="B116" s="15" t="s">
        <v>91</v>
      </c>
      <c r="C116" s="15" t="s">
        <v>382</v>
      </c>
      <c r="D116" s="15" t="s">
        <v>116</v>
      </c>
      <c r="E116" s="15" t="s">
        <v>90</v>
      </c>
      <c r="F116" s="15" t="s">
        <v>233</v>
      </c>
      <c r="G116" s="15" t="s">
        <v>11</v>
      </c>
      <c r="H116" s="18"/>
      <c r="I116" s="18"/>
      <c r="J116" s="19">
        <v>1600000.0</v>
      </c>
      <c r="K116" s="15"/>
      <c r="L116" s="15" t="s">
        <v>89</v>
      </c>
      <c r="M116" s="26">
        <v>2.0</v>
      </c>
      <c r="N116" s="5"/>
      <c r="O116" s="5"/>
      <c r="P116" s="5"/>
      <c r="Q116" s="5"/>
      <c r="R116" s="5"/>
      <c r="S116" s="5"/>
      <c r="T116" s="5"/>
    </row>
    <row r="117">
      <c r="A117" s="11" t="s">
        <v>383</v>
      </c>
      <c r="B117" s="15" t="s">
        <v>91</v>
      </c>
      <c r="C117" s="15" t="s">
        <v>384</v>
      </c>
      <c r="D117" s="15" t="s">
        <v>116</v>
      </c>
      <c r="E117" s="15" t="s">
        <v>90</v>
      </c>
      <c r="F117" s="15" t="s">
        <v>233</v>
      </c>
      <c r="G117" s="15" t="s">
        <v>11</v>
      </c>
      <c r="H117" s="18"/>
      <c r="I117" s="18"/>
      <c r="J117" s="19">
        <v>800000.0</v>
      </c>
      <c r="K117" s="15"/>
      <c r="L117" s="15" t="s">
        <v>89</v>
      </c>
      <c r="M117" s="26">
        <v>1.0</v>
      </c>
      <c r="N117" s="5"/>
      <c r="O117" s="5"/>
      <c r="P117" s="5"/>
      <c r="Q117" s="5"/>
      <c r="R117" s="5"/>
      <c r="S117" s="5"/>
      <c r="T117" s="5"/>
    </row>
    <row r="118">
      <c r="A118" s="11" t="s">
        <v>385</v>
      </c>
      <c r="B118" s="15" t="s">
        <v>386</v>
      </c>
      <c r="C118" s="15" t="s">
        <v>387</v>
      </c>
      <c r="D118" s="15" t="s">
        <v>116</v>
      </c>
      <c r="E118" s="15" t="s">
        <v>90</v>
      </c>
      <c r="F118" s="15" t="s">
        <v>388</v>
      </c>
      <c r="G118" s="15" t="s">
        <v>122</v>
      </c>
      <c r="H118" s="18"/>
      <c r="I118" s="18"/>
      <c r="J118" s="24"/>
      <c r="K118" s="18"/>
      <c r="L118" s="15" t="s">
        <v>89</v>
      </c>
      <c r="M118" s="26">
        <v>1.0</v>
      </c>
      <c r="N118" s="5"/>
      <c r="O118" s="5"/>
      <c r="P118" s="5"/>
      <c r="Q118" s="5"/>
      <c r="R118" s="5"/>
      <c r="S118" s="5"/>
      <c r="T118" s="5"/>
    </row>
    <row r="119">
      <c r="A119" s="11" t="s">
        <v>389</v>
      </c>
      <c r="B119" s="15" t="s">
        <v>386</v>
      </c>
      <c r="C119" s="15" t="s">
        <v>390</v>
      </c>
      <c r="D119" s="15" t="s">
        <v>116</v>
      </c>
      <c r="E119" s="15" t="s">
        <v>90</v>
      </c>
      <c r="F119" s="15" t="s">
        <v>388</v>
      </c>
      <c r="G119" s="15" t="s">
        <v>122</v>
      </c>
      <c r="H119" s="18"/>
      <c r="I119" s="18"/>
      <c r="J119" s="19">
        <v>1.5E7</v>
      </c>
      <c r="K119" s="18"/>
      <c r="L119" s="15" t="s">
        <v>89</v>
      </c>
      <c r="M119" s="26">
        <v>1.0</v>
      </c>
      <c r="N119" s="5"/>
      <c r="O119" s="5"/>
      <c r="P119" s="5"/>
      <c r="Q119" s="5"/>
      <c r="R119" s="5"/>
      <c r="S119" s="5"/>
      <c r="T119" s="5"/>
    </row>
    <row r="120">
      <c r="A120" s="11" t="s">
        <v>391</v>
      </c>
      <c r="B120" s="11" t="s">
        <v>95</v>
      </c>
      <c r="C120" s="15" t="s">
        <v>392</v>
      </c>
      <c r="D120" s="15" t="s">
        <v>116</v>
      </c>
      <c r="E120" s="15" t="s">
        <v>94</v>
      </c>
      <c r="F120" s="15" t="s">
        <v>388</v>
      </c>
      <c r="G120" s="15" t="s">
        <v>122</v>
      </c>
      <c r="H120" s="15" t="s">
        <v>393</v>
      </c>
      <c r="I120" s="18"/>
      <c r="J120" s="24"/>
      <c r="K120" s="18"/>
      <c r="L120" s="15" t="s">
        <v>89</v>
      </c>
      <c r="M120" s="20"/>
      <c r="N120" s="5"/>
      <c r="O120" s="5"/>
      <c r="P120" s="5"/>
      <c r="Q120" s="5"/>
      <c r="R120" s="5"/>
      <c r="S120" s="5"/>
      <c r="T120" s="5"/>
    </row>
    <row r="121">
      <c r="A121" s="11" t="s">
        <v>394</v>
      </c>
      <c r="B121" s="11" t="s">
        <v>95</v>
      </c>
      <c r="C121" s="15" t="s">
        <v>395</v>
      </c>
      <c r="D121" s="15" t="s">
        <v>116</v>
      </c>
      <c r="E121" s="15" t="s">
        <v>94</v>
      </c>
      <c r="F121" s="15" t="s">
        <v>388</v>
      </c>
      <c r="G121" s="15" t="s">
        <v>122</v>
      </c>
      <c r="H121" s="15" t="s">
        <v>396</v>
      </c>
      <c r="I121" s="18"/>
      <c r="J121" s="24"/>
      <c r="K121" s="18"/>
      <c r="L121" s="15" t="s">
        <v>89</v>
      </c>
      <c r="M121" s="20"/>
      <c r="N121" s="5"/>
      <c r="O121" s="5"/>
      <c r="P121" s="5"/>
      <c r="Q121" s="5"/>
      <c r="R121" s="5"/>
      <c r="S121" s="5"/>
      <c r="T121" s="5"/>
    </row>
    <row r="122">
      <c r="A122" s="11" t="s">
        <v>397</v>
      </c>
      <c r="B122" s="11" t="s">
        <v>95</v>
      </c>
      <c r="C122" s="15" t="s">
        <v>398</v>
      </c>
      <c r="D122" s="15" t="s">
        <v>116</v>
      </c>
      <c r="E122" s="15" t="s">
        <v>94</v>
      </c>
      <c r="F122" s="15" t="s">
        <v>388</v>
      </c>
      <c r="G122" s="15" t="s">
        <v>122</v>
      </c>
      <c r="H122" s="15" t="s">
        <v>399</v>
      </c>
      <c r="I122" s="18"/>
      <c r="J122" s="24"/>
      <c r="K122" s="18"/>
      <c r="L122" s="15" t="s">
        <v>89</v>
      </c>
      <c r="M122" s="20"/>
      <c r="N122" s="5"/>
      <c r="O122" s="5"/>
      <c r="P122" s="5"/>
      <c r="Q122" s="5"/>
      <c r="R122" s="5"/>
      <c r="S122" s="5"/>
      <c r="T122" s="5"/>
    </row>
    <row r="123">
      <c r="A123" s="11" t="s">
        <v>400</v>
      </c>
      <c r="B123" s="11" t="s">
        <v>95</v>
      </c>
      <c r="C123" s="15" t="s">
        <v>401</v>
      </c>
      <c r="D123" s="15" t="s">
        <v>116</v>
      </c>
      <c r="E123" s="15" t="s">
        <v>94</v>
      </c>
      <c r="F123" s="15" t="s">
        <v>388</v>
      </c>
      <c r="G123" s="15" t="s">
        <v>122</v>
      </c>
      <c r="H123" s="15" t="s">
        <v>402</v>
      </c>
      <c r="I123" s="18"/>
      <c r="J123" s="24"/>
      <c r="K123" s="18"/>
      <c r="L123" s="15" t="s">
        <v>89</v>
      </c>
      <c r="M123" s="20"/>
      <c r="N123" s="5"/>
      <c r="O123" s="5"/>
      <c r="P123" s="5"/>
      <c r="Q123" s="5"/>
      <c r="R123" s="5"/>
      <c r="S123" s="5"/>
      <c r="T123" s="5"/>
    </row>
    <row r="124">
      <c r="A124" s="11" t="s">
        <v>403</v>
      </c>
      <c r="B124" s="11" t="s">
        <v>99</v>
      </c>
      <c r="C124" s="15" t="s">
        <v>404</v>
      </c>
      <c r="D124" s="15" t="s">
        <v>116</v>
      </c>
      <c r="E124" s="15" t="s">
        <v>98</v>
      </c>
      <c r="F124" s="15" t="s">
        <v>405</v>
      </c>
      <c r="G124" s="15" t="s">
        <v>122</v>
      </c>
      <c r="H124" s="15" t="s">
        <v>399</v>
      </c>
      <c r="I124" s="18"/>
      <c r="J124" s="24"/>
      <c r="K124" s="18"/>
      <c r="L124" s="15" t="s">
        <v>89</v>
      </c>
      <c r="M124" s="20"/>
      <c r="N124" s="5"/>
      <c r="O124" s="5"/>
      <c r="P124" s="5"/>
      <c r="Q124" s="5"/>
      <c r="R124" s="5"/>
      <c r="S124" s="5"/>
      <c r="T124" s="5"/>
    </row>
    <row r="125">
      <c r="A125" s="11" t="s">
        <v>406</v>
      </c>
      <c r="B125" s="11" t="s">
        <v>99</v>
      </c>
      <c r="C125" s="15" t="s">
        <v>407</v>
      </c>
      <c r="D125" s="15" t="s">
        <v>116</v>
      </c>
      <c r="E125" s="15" t="s">
        <v>98</v>
      </c>
      <c r="F125" s="15" t="s">
        <v>405</v>
      </c>
      <c r="G125" s="15" t="s">
        <v>122</v>
      </c>
      <c r="H125" s="15" t="s">
        <v>399</v>
      </c>
      <c r="I125" s="18"/>
      <c r="J125" s="24"/>
      <c r="K125" s="18"/>
      <c r="L125" s="15" t="s">
        <v>89</v>
      </c>
      <c r="M125" s="20"/>
      <c r="N125" s="5"/>
      <c r="O125" s="5"/>
      <c r="P125" s="5"/>
      <c r="Q125" s="5"/>
      <c r="R125" s="5"/>
      <c r="S125" s="5"/>
      <c r="T125" s="5"/>
    </row>
    <row r="126">
      <c r="A126" s="11" t="s">
        <v>408</v>
      </c>
      <c r="B126" s="11" t="s">
        <v>102</v>
      </c>
      <c r="C126" s="15" t="s">
        <v>409</v>
      </c>
      <c r="D126" s="15" t="s">
        <v>116</v>
      </c>
      <c r="E126" s="15" t="s">
        <v>101</v>
      </c>
      <c r="F126" s="15" t="s">
        <v>410</v>
      </c>
      <c r="G126" s="15" t="s">
        <v>122</v>
      </c>
      <c r="H126" s="15" t="s">
        <v>399</v>
      </c>
      <c r="I126" s="18"/>
      <c r="J126" s="24"/>
      <c r="K126" s="18"/>
      <c r="L126" s="15" t="s">
        <v>89</v>
      </c>
      <c r="M126" s="20"/>
      <c r="N126" s="5"/>
      <c r="O126" s="5"/>
      <c r="P126" s="5"/>
      <c r="Q126" s="5"/>
      <c r="R126" s="5"/>
      <c r="S126" s="5"/>
      <c r="T126" s="5"/>
    </row>
    <row r="127">
      <c r="A127" s="11" t="s">
        <v>411</v>
      </c>
      <c r="B127" s="11" t="s">
        <v>102</v>
      </c>
      <c r="C127" s="15" t="s">
        <v>412</v>
      </c>
      <c r="D127" s="15" t="s">
        <v>116</v>
      </c>
      <c r="E127" s="15" t="s">
        <v>101</v>
      </c>
      <c r="F127" s="15" t="s">
        <v>405</v>
      </c>
      <c r="G127" s="15" t="s">
        <v>122</v>
      </c>
      <c r="H127" s="15" t="s">
        <v>399</v>
      </c>
      <c r="I127" s="18"/>
      <c r="J127" s="24"/>
      <c r="K127" s="18"/>
      <c r="L127" s="15" t="s">
        <v>89</v>
      </c>
      <c r="M127" s="20"/>
      <c r="N127" s="5"/>
      <c r="O127" s="5"/>
      <c r="P127" s="5"/>
      <c r="Q127" s="5"/>
      <c r="R127" s="5"/>
      <c r="S127" s="5"/>
      <c r="T127" s="5"/>
    </row>
    <row r="128">
      <c r="A128" s="11" t="s">
        <v>413</v>
      </c>
      <c r="B128" s="11" t="s">
        <v>105</v>
      </c>
      <c r="C128" s="15" t="s">
        <v>414</v>
      </c>
      <c r="D128" s="15" t="s">
        <v>116</v>
      </c>
      <c r="E128" s="15" t="s">
        <v>104</v>
      </c>
      <c r="F128" s="15" t="s">
        <v>410</v>
      </c>
      <c r="G128" s="15" t="s">
        <v>122</v>
      </c>
      <c r="H128" s="15" t="s">
        <v>415</v>
      </c>
      <c r="I128" s="18"/>
      <c r="J128" s="24"/>
      <c r="K128" s="18"/>
      <c r="L128" s="15" t="s">
        <v>89</v>
      </c>
      <c r="M128" s="20"/>
      <c r="N128" s="5"/>
      <c r="O128" s="5"/>
      <c r="P128" s="5"/>
      <c r="Q128" s="5"/>
      <c r="R128" s="5"/>
      <c r="S128" s="5"/>
      <c r="T128" s="5"/>
    </row>
    <row r="129">
      <c r="A129" s="11" t="s">
        <v>416</v>
      </c>
      <c r="B129" s="11" t="s">
        <v>105</v>
      </c>
      <c r="C129" s="15" t="s">
        <v>417</v>
      </c>
      <c r="D129" s="15" t="s">
        <v>116</v>
      </c>
      <c r="E129" s="15" t="s">
        <v>104</v>
      </c>
      <c r="F129" s="15" t="s">
        <v>410</v>
      </c>
      <c r="G129" s="15" t="s">
        <v>122</v>
      </c>
      <c r="H129" s="15" t="s">
        <v>415</v>
      </c>
      <c r="I129" s="18"/>
      <c r="J129" s="24"/>
      <c r="K129" s="18"/>
      <c r="L129" s="15" t="s">
        <v>89</v>
      </c>
      <c r="M129" s="20"/>
      <c r="N129" s="5"/>
      <c r="O129" s="5"/>
      <c r="P129" s="5"/>
      <c r="Q129" s="5"/>
      <c r="R129" s="5"/>
      <c r="S129" s="5"/>
      <c r="T129" s="5"/>
    </row>
    <row r="130">
      <c r="A130" s="11" t="s">
        <v>418</v>
      </c>
      <c r="B130" s="11" t="s">
        <v>105</v>
      </c>
      <c r="C130" s="15" t="s">
        <v>419</v>
      </c>
      <c r="D130" s="15" t="s">
        <v>116</v>
      </c>
      <c r="E130" s="15" t="s">
        <v>104</v>
      </c>
      <c r="F130" s="15" t="s">
        <v>410</v>
      </c>
      <c r="G130" s="15" t="s">
        <v>122</v>
      </c>
      <c r="H130" s="15" t="s">
        <v>415</v>
      </c>
      <c r="I130" s="18"/>
      <c r="J130" s="24"/>
      <c r="K130" s="18"/>
      <c r="L130" s="15" t="s">
        <v>89</v>
      </c>
      <c r="M130" s="20"/>
      <c r="N130" s="5"/>
      <c r="O130" s="5"/>
      <c r="P130" s="5"/>
      <c r="Q130" s="5"/>
      <c r="R130" s="5"/>
      <c r="S130" s="5"/>
      <c r="T130" s="5"/>
    </row>
    <row r="131">
      <c r="A131" s="11" t="s">
        <v>420</v>
      </c>
      <c r="B131" s="11" t="s">
        <v>108</v>
      </c>
      <c r="C131" s="15" t="s">
        <v>421</v>
      </c>
      <c r="D131" s="15" t="s">
        <v>116</v>
      </c>
      <c r="E131" s="15" t="s">
        <v>107</v>
      </c>
      <c r="F131" s="15" t="s">
        <v>422</v>
      </c>
      <c r="G131" s="15" t="s">
        <v>122</v>
      </c>
      <c r="H131" s="15" t="s">
        <v>415</v>
      </c>
      <c r="I131" s="18"/>
      <c r="J131" s="24"/>
      <c r="K131" s="18"/>
      <c r="L131" s="15" t="s">
        <v>89</v>
      </c>
      <c r="M131" s="20"/>
      <c r="N131" s="5"/>
      <c r="O131" s="5"/>
      <c r="P131" s="5"/>
      <c r="Q131" s="5"/>
      <c r="R131" s="5"/>
      <c r="S131" s="5"/>
      <c r="T131" s="5"/>
    </row>
    <row r="132">
      <c r="A132" s="11" t="s">
        <v>423</v>
      </c>
      <c r="B132" s="11" t="s">
        <v>108</v>
      </c>
      <c r="C132" s="15" t="s">
        <v>424</v>
      </c>
      <c r="D132" s="15" t="s">
        <v>116</v>
      </c>
      <c r="E132" s="15" t="s">
        <v>107</v>
      </c>
      <c r="F132" s="15" t="s">
        <v>405</v>
      </c>
      <c r="G132" s="15" t="s">
        <v>122</v>
      </c>
      <c r="H132" s="15" t="s">
        <v>415</v>
      </c>
      <c r="I132" s="18"/>
      <c r="J132" s="24"/>
      <c r="K132" s="18"/>
      <c r="L132" s="15" t="s">
        <v>89</v>
      </c>
      <c r="M132" s="20"/>
      <c r="N132" s="5"/>
      <c r="O132" s="5"/>
      <c r="P132" s="5"/>
      <c r="Q132" s="5"/>
      <c r="R132" s="5"/>
      <c r="S132" s="5"/>
      <c r="T132" s="5"/>
    </row>
    <row r="133">
      <c r="A133" s="11" t="s">
        <v>425</v>
      </c>
      <c r="B133" s="11" t="s">
        <v>108</v>
      </c>
      <c r="C133" s="15" t="s">
        <v>426</v>
      </c>
      <c r="D133" s="15" t="s">
        <v>116</v>
      </c>
      <c r="E133" s="15" t="s">
        <v>107</v>
      </c>
      <c r="F133" s="15" t="s">
        <v>405</v>
      </c>
      <c r="G133" s="15" t="s">
        <v>122</v>
      </c>
      <c r="H133" s="15" t="s">
        <v>415</v>
      </c>
      <c r="I133" s="18"/>
      <c r="J133" s="24"/>
      <c r="K133" s="18"/>
      <c r="L133" s="15" t="s">
        <v>89</v>
      </c>
      <c r="M133" s="20"/>
      <c r="N133" s="5"/>
      <c r="O133" s="5"/>
      <c r="P133" s="5"/>
      <c r="Q133" s="5"/>
      <c r="R133" s="5"/>
      <c r="S133" s="5"/>
      <c r="T133" s="5"/>
    </row>
    <row r="134">
      <c r="A134" s="11" t="s">
        <v>427</v>
      </c>
      <c r="B134" s="11" t="s">
        <v>110</v>
      </c>
      <c r="C134" s="15" t="s">
        <v>428</v>
      </c>
      <c r="D134" s="15" t="s">
        <v>116</v>
      </c>
      <c r="E134" s="15" t="s">
        <v>109</v>
      </c>
      <c r="F134" s="15" t="s">
        <v>410</v>
      </c>
      <c r="G134" s="15" t="s">
        <v>122</v>
      </c>
      <c r="H134" s="15" t="s">
        <v>415</v>
      </c>
      <c r="I134" s="18"/>
      <c r="J134" s="24"/>
      <c r="K134" s="18"/>
      <c r="L134" s="15" t="s">
        <v>89</v>
      </c>
      <c r="M134" s="20"/>
      <c r="N134" s="5"/>
      <c r="O134" s="5"/>
      <c r="P134" s="5"/>
      <c r="Q134" s="5"/>
      <c r="R134" s="5"/>
      <c r="S134" s="5"/>
      <c r="T134" s="5"/>
    </row>
    <row r="135">
      <c r="A135" s="11" t="s">
        <v>429</v>
      </c>
      <c r="B135" s="11" t="s">
        <v>110</v>
      </c>
      <c r="C135" s="15" t="s">
        <v>430</v>
      </c>
      <c r="D135" s="15" t="s">
        <v>116</v>
      </c>
      <c r="E135" s="15" t="s">
        <v>109</v>
      </c>
      <c r="F135" s="15" t="s">
        <v>410</v>
      </c>
      <c r="G135" s="15" t="s">
        <v>122</v>
      </c>
      <c r="H135" s="15" t="s">
        <v>415</v>
      </c>
      <c r="I135" s="18"/>
      <c r="J135" s="24"/>
      <c r="K135" s="18"/>
      <c r="L135" s="15" t="s">
        <v>89</v>
      </c>
      <c r="M135" s="20"/>
      <c r="N135" s="5"/>
      <c r="O135" s="5"/>
      <c r="P135" s="5"/>
      <c r="Q135" s="5"/>
      <c r="R135" s="5"/>
      <c r="S135" s="5"/>
      <c r="T135" s="5"/>
    </row>
    <row r="136">
      <c r="A136" s="11" t="s">
        <v>431</v>
      </c>
      <c r="B136" s="11" t="s">
        <v>112</v>
      </c>
      <c r="C136" s="15" t="s">
        <v>432</v>
      </c>
      <c r="D136" s="15" t="s">
        <v>116</v>
      </c>
      <c r="E136" s="15" t="s">
        <v>111</v>
      </c>
      <c r="F136" s="15" t="s">
        <v>410</v>
      </c>
      <c r="G136" s="15" t="s">
        <v>122</v>
      </c>
      <c r="H136" s="15" t="s">
        <v>433</v>
      </c>
      <c r="I136" s="18"/>
      <c r="J136" s="24"/>
      <c r="K136" s="18"/>
      <c r="L136" s="15" t="s">
        <v>89</v>
      </c>
      <c r="M136" s="20"/>
      <c r="N136" s="5"/>
      <c r="O136" s="5"/>
      <c r="P136" s="5"/>
      <c r="Q136" s="5"/>
      <c r="R136" s="5"/>
      <c r="S136" s="5"/>
      <c r="T136" s="5"/>
    </row>
    <row r="137">
      <c r="A137" s="11" t="s">
        <v>434</v>
      </c>
      <c r="B137" s="11" t="s">
        <v>112</v>
      </c>
      <c r="C137" s="15" t="s">
        <v>435</v>
      </c>
      <c r="D137" s="15" t="s">
        <v>116</v>
      </c>
      <c r="E137" s="15" t="s">
        <v>111</v>
      </c>
      <c r="F137" s="15" t="s">
        <v>422</v>
      </c>
      <c r="G137" s="15" t="s">
        <v>122</v>
      </c>
      <c r="H137" s="15" t="s">
        <v>433</v>
      </c>
      <c r="I137" s="18"/>
      <c r="J137" s="24"/>
      <c r="K137" s="18"/>
      <c r="L137" s="15" t="s">
        <v>89</v>
      </c>
      <c r="M137" s="20"/>
      <c r="N137" s="5"/>
      <c r="O137" s="5"/>
      <c r="P137" s="5"/>
      <c r="Q137" s="5"/>
      <c r="R137" s="5"/>
      <c r="S137" s="5"/>
      <c r="T137" s="5"/>
    </row>
    <row r="138">
      <c r="A138" s="11" t="s">
        <v>436</v>
      </c>
      <c r="B138" s="11" t="s">
        <v>112</v>
      </c>
      <c r="C138" s="15" t="s">
        <v>437</v>
      </c>
      <c r="D138" s="15" t="s">
        <v>116</v>
      </c>
      <c r="E138" s="15" t="s">
        <v>111</v>
      </c>
      <c r="F138" s="15" t="s">
        <v>405</v>
      </c>
      <c r="G138" s="15" t="s">
        <v>122</v>
      </c>
      <c r="H138" s="15" t="s">
        <v>415</v>
      </c>
      <c r="I138" s="18"/>
      <c r="J138" s="24"/>
      <c r="K138" s="18"/>
      <c r="L138" s="15" t="s">
        <v>89</v>
      </c>
      <c r="M138" s="20"/>
      <c r="N138" s="5"/>
      <c r="O138" s="5"/>
      <c r="P138" s="5"/>
      <c r="Q138" s="5"/>
      <c r="R138" s="5"/>
      <c r="S138" s="5"/>
      <c r="T138" s="5"/>
    </row>
    <row r="139">
      <c r="A139" s="11" t="s">
        <v>438</v>
      </c>
      <c r="B139" s="15" t="s">
        <v>91</v>
      </c>
      <c r="C139" s="15" t="s">
        <v>439</v>
      </c>
      <c r="D139" s="15" t="s">
        <v>116</v>
      </c>
      <c r="E139" s="15" t="s">
        <v>90</v>
      </c>
      <c r="F139" s="15" t="s">
        <v>440</v>
      </c>
      <c r="G139" s="15" t="s">
        <v>14</v>
      </c>
      <c r="H139" s="18"/>
      <c r="I139" s="15" t="s">
        <v>117</v>
      </c>
      <c r="J139" s="19">
        <v>2350000.0</v>
      </c>
      <c r="K139" s="18"/>
      <c r="L139" s="15" t="s">
        <v>89</v>
      </c>
      <c r="M139" s="26">
        <v>1.0</v>
      </c>
      <c r="N139" s="5"/>
      <c r="O139" s="5"/>
      <c r="P139" s="5"/>
      <c r="Q139" s="5"/>
      <c r="R139" s="5"/>
      <c r="S139" s="5"/>
      <c r="T139" s="5"/>
    </row>
    <row r="140">
      <c r="A140" s="11" t="s">
        <v>441</v>
      </c>
      <c r="B140" s="15" t="s">
        <v>91</v>
      </c>
      <c r="C140" s="15" t="s">
        <v>442</v>
      </c>
      <c r="D140" s="15" t="s">
        <v>116</v>
      </c>
      <c r="E140" s="15" t="s">
        <v>90</v>
      </c>
      <c r="F140" s="15" t="s">
        <v>443</v>
      </c>
      <c r="G140" s="15" t="s">
        <v>23</v>
      </c>
      <c r="H140" s="15" t="s">
        <v>183</v>
      </c>
      <c r="I140" s="15" t="s">
        <v>184</v>
      </c>
      <c r="J140" s="19">
        <v>8000000.0</v>
      </c>
      <c r="K140" s="15" t="s">
        <v>444</v>
      </c>
      <c r="L140" s="15" t="s">
        <v>89</v>
      </c>
      <c r="M140" s="26">
        <v>4.0</v>
      </c>
      <c r="N140" s="5"/>
      <c r="O140" s="5"/>
      <c r="P140" s="5"/>
      <c r="Q140" s="5"/>
      <c r="R140" s="5"/>
      <c r="S140" s="5"/>
      <c r="T140" s="5"/>
    </row>
    <row r="141">
      <c r="A141" s="11" t="s">
        <v>445</v>
      </c>
      <c r="B141" s="15" t="s">
        <v>91</v>
      </c>
      <c r="C141" s="15" t="s">
        <v>446</v>
      </c>
      <c r="D141" s="15" t="s">
        <v>116</v>
      </c>
      <c r="E141" s="15" t="s">
        <v>90</v>
      </c>
      <c r="F141" s="15" t="s">
        <v>443</v>
      </c>
      <c r="G141" s="15" t="s">
        <v>23</v>
      </c>
      <c r="H141" s="15" t="s">
        <v>183</v>
      </c>
      <c r="I141" s="15" t="s">
        <v>190</v>
      </c>
      <c r="J141" s="19">
        <v>1.2E7</v>
      </c>
      <c r="K141" s="15" t="s">
        <v>447</v>
      </c>
      <c r="L141" s="15" t="s">
        <v>89</v>
      </c>
      <c r="M141" s="26">
        <v>8.0</v>
      </c>
      <c r="N141" s="5"/>
      <c r="O141" s="5"/>
      <c r="P141" s="5"/>
      <c r="Q141" s="5"/>
      <c r="R141" s="5"/>
      <c r="S141" s="5"/>
      <c r="T141" s="5"/>
    </row>
    <row r="142">
      <c r="A142" s="11" t="s">
        <v>448</v>
      </c>
      <c r="B142" s="15" t="s">
        <v>91</v>
      </c>
      <c r="C142" s="15" t="s">
        <v>245</v>
      </c>
      <c r="D142" s="15" t="s">
        <v>116</v>
      </c>
      <c r="E142" s="15" t="s">
        <v>90</v>
      </c>
      <c r="F142" s="15" t="s">
        <v>443</v>
      </c>
      <c r="G142" s="15" t="s">
        <v>23</v>
      </c>
      <c r="H142" s="15" t="s">
        <v>183</v>
      </c>
      <c r="I142" s="15" t="s">
        <v>190</v>
      </c>
      <c r="J142" s="19">
        <v>4000000.0</v>
      </c>
      <c r="K142" s="15" t="s">
        <v>449</v>
      </c>
      <c r="L142" s="15" t="s">
        <v>89</v>
      </c>
      <c r="M142" s="26">
        <v>8.0</v>
      </c>
      <c r="N142" s="5"/>
      <c r="O142" s="5"/>
      <c r="P142" s="5"/>
      <c r="Q142" s="5"/>
      <c r="R142" s="5"/>
      <c r="S142" s="5"/>
      <c r="T142" s="5"/>
    </row>
    <row r="143">
      <c r="A143" s="11" t="s">
        <v>450</v>
      </c>
      <c r="B143" s="15" t="s">
        <v>91</v>
      </c>
      <c r="C143" s="15" t="s">
        <v>451</v>
      </c>
      <c r="D143" s="15" t="s">
        <v>116</v>
      </c>
      <c r="E143" s="15" t="s">
        <v>90</v>
      </c>
      <c r="F143" s="15" t="s">
        <v>443</v>
      </c>
      <c r="G143" s="15" t="s">
        <v>23</v>
      </c>
      <c r="H143" s="15" t="s">
        <v>183</v>
      </c>
      <c r="I143" s="15" t="s">
        <v>190</v>
      </c>
      <c r="J143" s="19">
        <v>4600000.0</v>
      </c>
      <c r="K143" s="15" t="s">
        <v>452</v>
      </c>
      <c r="L143" s="15" t="s">
        <v>89</v>
      </c>
      <c r="M143" s="26">
        <v>2.0</v>
      </c>
      <c r="N143" s="5"/>
      <c r="O143" s="5"/>
      <c r="P143" s="5"/>
      <c r="Q143" s="5"/>
      <c r="R143" s="5"/>
      <c r="S143" s="5"/>
      <c r="T143" s="5"/>
    </row>
    <row r="144">
      <c r="A144" s="11" t="s">
        <v>453</v>
      </c>
      <c r="B144" s="15" t="s">
        <v>91</v>
      </c>
      <c r="C144" s="15" t="s">
        <v>226</v>
      </c>
      <c r="D144" s="15" t="s">
        <v>116</v>
      </c>
      <c r="E144" s="15" t="s">
        <v>90</v>
      </c>
      <c r="F144" s="15" t="s">
        <v>443</v>
      </c>
      <c r="G144" s="15" t="s">
        <v>23</v>
      </c>
      <c r="H144" s="15" t="s">
        <v>183</v>
      </c>
      <c r="I144" s="15" t="s">
        <v>190</v>
      </c>
      <c r="J144" s="19">
        <v>2400000.0</v>
      </c>
      <c r="K144" s="15" t="s">
        <v>452</v>
      </c>
      <c r="L144" s="15" t="s">
        <v>89</v>
      </c>
      <c r="M144" s="26">
        <v>4.0</v>
      </c>
      <c r="N144" s="5"/>
      <c r="O144" s="5"/>
      <c r="P144" s="5"/>
      <c r="Q144" s="5"/>
      <c r="R144" s="5"/>
      <c r="S144" s="5"/>
      <c r="T144" s="5"/>
    </row>
    <row r="145">
      <c r="A145" s="11" t="s">
        <v>454</v>
      </c>
      <c r="B145" s="15" t="s">
        <v>91</v>
      </c>
      <c r="C145" s="15" t="s">
        <v>455</v>
      </c>
      <c r="D145" s="15" t="s">
        <v>116</v>
      </c>
      <c r="E145" s="15" t="s">
        <v>90</v>
      </c>
      <c r="F145" s="15" t="s">
        <v>443</v>
      </c>
      <c r="G145" s="15" t="s">
        <v>23</v>
      </c>
      <c r="H145" s="15" t="s">
        <v>183</v>
      </c>
      <c r="I145" s="15" t="s">
        <v>190</v>
      </c>
      <c r="J145" s="19">
        <v>1.151E7</v>
      </c>
      <c r="K145" s="15" t="s">
        <v>452</v>
      </c>
      <c r="L145" s="15" t="s">
        <v>89</v>
      </c>
      <c r="M145" s="26">
        <v>2.0</v>
      </c>
      <c r="N145" s="5"/>
      <c r="O145" s="5"/>
      <c r="P145" s="5"/>
      <c r="Q145" s="5"/>
      <c r="R145" s="5"/>
      <c r="S145" s="5"/>
      <c r="T145" s="5"/>
    </row>
    <row r="146">
      <c r="A146" s="11" t="s">
        <v>456</v>
      </c>
      <c r="B146" s="15" t="s">
        <v>91</v>
      </c>
      <c r="C146" s="15" t="s">
        <v>186</v>
      </c>
      <c r="D146" s="15" t="s">
        <v>116</v>
      </c>
      <c r="E146" s="15" t="s">
        <v>90</v>
      </c>
      <c r="F146" s="15" t="s">
        <v>443</v>
      </c>
      <c r="G146" s="15" t="s">
        <v>23</v>
      </c>
      <c r="H146" s="15" t="s">
        <v>183</v>
      </c>
      <c r="I146" s="15" t="s">
        <v>190</v>
      </c>
      <c r="J146" s="19">
        <v>120000.0</v>
      </c>
      <c r="K146" s="18"/>
      <c r="L146" s="15" t="s">
        <v>89</v>
      </c>
      <c r="M146" s="26">
        <v>1.0</v>
      </c>
      <c r="N146" s="5"/>
      <c r="O146" s="5"/>
      <c r="P146" s="5"/>
      <c r="Q146" s="5"/>
      <c r="R146" s="5"/>
      <c r="S146" s="5"/>
      <c r="T146" s="5"/>
    </row>
    <row r="147">
      <c r="A147" s="11" t="s">
        <v>457</v>
      </c>
      <c r="B147" s="15" t="s">
        <v>91</v>
      </c>
      <c r="C147" s="15" t="s">
        <v>458</v>
      </c>
      <c r="D147" s="15" t="s">
        <v>116</v>
      </c>
      <c r="E147" s="15" t="s">
        <v>90</v>
      </c>
      <c r="F147" s="15" t="s">
        <v>443</v>
      </c>
      <c r="G147" s="15" t="s">
        <v>23</v>
      </c>
      <c r="H147" s="15" t="s">
        <v>183</v>
      </c>
      <c r="I147" s="15" t="s">
        <v>184</v>
      </c>
      <c r="J147" s="19">
        <v>130000.0</v>
      </c>
      <c r="K147" s="18"/>
      <c r="L147" s="15" t="s">
        <v>89</v>
      </c>
      <c r="M147" s="26">
        <v>1.0</v>
      </c>
      <c r="N147" s="5"/>
      <c r="O147" s="5"/>
      <c r="P147" s="5"/>
      <c r="Q147" s="5"/>
      <c r="R147" s="5"/>
      <c r="S147" s="5"/>
      <c r="T147" s="5"/>
    </row>
    <row r="148">
      <c r="A148" s="11" t="s">
        <v>459</v>
      </c>
      <c r="B148" s="15" t="s">
        <v>91</v>
      </c>
      <c r="C148" s="15" t="s">
        <v>460</v>
      </c>
      <c r="D148" s="15" t="s">
        <v>116</v>
      </c>
      <c r="E148" s="15" t="s">
        <v>90</v>
      </c>
      <c r="F148" s="15" t="s">
        <v>443</v>
      </c>
      <c r="G148" s="15" t="s">
        <v>23</v>
      </c>
      <c r="H148" s="15" t="s">
        <v>183</v>
      </c>
      <c r="I148" s="15" t="s">
        <v>184</v>
      </c>
      <c r="J148" s="19">
        <v>200000.0</v>
      </c>
      <c r="K148" s="18"/>
      <c r="L148" s="15" t="s">
        <v>89</v>
      </c>
      <c r="M148" s="26">
        <v>2.0</v>
      </c>
      <c r="N148" s="5"/>
      <c r="O148" s="5"/>
      <c r="P148" s="5"/>
      <c r="Q148" s="5"/>
      <c r="R148" s="5"/>
      <c r="S148" s="5"/>
      <c r="T148" s="5"/>
    </row>
    <row r="149">
      <c r="A149" s="11" t="s">
        <v>461</v>
      </c>
      <c r="B149" s="15" t="s">
        <v>91</v>
      </c>
      <c r="C149" s="15" t="s">
        <v>462</v>
      </c>
      <c r="D149" s="15" t="s">
        <v>116</v>
      </c>
      <c r="E149" s="15" t="s">
        <v>90</v>
      </c>
      <c r="F149" s="15" t="s">
        <v>443</v>
      </c>
      <c r="G149" s="15" t="s">
        <v>23</v>
      </c>
      <c r="H149" s="15" t="s">
        <v>183</v>
      </c>
      <c r="I149" s="15" t="s">
        <v>184</v>
      </c>
      <c r="J149" s="19">
        <v>3700000.0</v>
      </c>
      <c r="K149" s="18"/>
      <c r="L149" s="15" t="s">
        <v>89</v>
      </c>
      <c r="M149" s="26">
        <v>2.0</v>
      </c>
      <c r="N149" s="5"/>
      <c r="O149" s="5"/>
      <c r="P149" s="5"/>
      <c r="Q149" s="5"/>
      <c r="R149" s="5"/>
      <c r="S149" s="5"/>
      <c r="T149" s="5"/>
    </row>
    <row r="150">
      <c r="A150" s="11" t="s">
        <v>463</v>
      </c>
      <c r="B150" s="15" t="s">
        <v>91</v>
      </c>
      <c r="C150" s="15" t="s">
        <v>464</v>
      </c>
      <c r="D150" s="15" t="s">
        <v>116</v>
      </c>
      <c r="E150" s="15" t="s">
        <v>90</v>
      </c>
      <c r="F150" s="15" t="s">
        <v>443</v>
      </c>
      <c r="G150" s="15" t="s">
        <v>23</v>
      </c>
      <c r="H150" s="15" t="s">
        <v>183</v>
      </c>
      <c r="I150" s="15" t="s">
        <v>184</v>
      </c>
      <c r="J150" s="19">
        <v>2000000.0</v>
      </c>
      <c r="K150" s="18"/>
      <c r="L150" s="15" t="s">
        <v>89</v>
      </c>
      <c r="M150" s="26">
        <v>4.0</v>
      </c>
      <c r="N150" s="5"/>
      <c r="O150" s="5"/>
      <c r="P150" s="5"/>
      <c r="Q150" s="5"/>
      <c r="R150" s="5"/>
      <c r="S150" s="5"/>
      <c r="T150" s="5"/>
    </row>
    <row r="151">
      <c r="A151" s="11" t="s">
        <v>465</v>
      </c>
      <c r="B151" s="15" t="s">
        <v>91</v>
      </c>
      <c r="C151" s="15" t="s">
        <v>466</v>
      </c>
      <c r="D151" s="15" t="s">
        <v>116</v>
      </c>
      <c r="E151" s="15" t="s">
        <v>90</v>
      </c>
      <c r="F151" s="15" t="s">
        <v>443</v>
      </c>
      <c r="G151" s="15" t="s">
        <v>23</v>
      </c>
      <c r="H151" s="15" t="s">
        <v>183</v>
      </c>
      <c r="I151" s="15" t="s">
        <v>184</v>
      </c>
      <c r="J151" s="19">
        <v>380000.0</v>
      </c>
      <c r="K151" s="18"/>
      <c r="L151" s="15" t="s">
        <v>89</v>
      </c>
      <c r="M151" s="26">
        <v>2.0</v>
      </c>
      <c r="N151" s="5"/>
      <c r="O151" s="5"/>
      <c r="P151" s="5"/>
      <c r="Q151" s="5"/>
      <c r="R151" s="5"/>
      <c r="S151" s="5"/>
      <c r="T151" s="5"/>
    </row>
    <row r="152">
      <c r="A152" s="11" t="s">
        <v>467</v>
      </c>
      <c r="B152" s="15" t="s">
        <v>91</v>
      </c>
      <c r="C152" s="15" t="s">
        <v>468</v>
      </c>
      <c r="D152" s="15" t="s">
        <v>116</v>
      </c>
      <c r="E152" s="15" t="s">
        <v>90</v>
      </c>
      <c r="F152" s="15" t="s">
        <v>443</v>
      </c>
      <c r="G152" s="15" t="s">
        <v>23</v>
      </c>
      <c r="H152" s="15" t="s">
        <v>183</v>
      </c>
      <c r="I152" s="15" t="s">
        <v>184</v>
      </c>
      <c r="J152" s="19">
        <v>1700000.0</v>
      </c>
      <c r="K152" s="18"/>
      <c r="L152" s="15" t="s">
        <v>89</v>
      </c>
      <c r="M152" s="26">
        <v>2.0</v>
      </c>
      <c r="N152" s="5"/>
      <c r="O152" s="5"/>
      <c r="P152" s="5"/>
      <c r="Q152" s="5"/>
      <c r="R152" s="5"/>
      <c r="S152" s="5"/>
      <c r="T152" s="5"/>
    </row>
    <row r="153">
      <c r="A153" s="11" t="s">
        <v>469</v>
      </c>
      <c r="B153" s="15" t="s">
        <v>91</v>
      </c>
      <c r="C153" s="15" t="s">
        <v>470</v>
      </c>
      <c r="D153" s="15" t="s">
        <v>116</v>
      </c>
      <c r="E153" s="15" t="s">
        <v>90</v>
      </c>
      <c r="F153" s="15" t="s">
        <v>443</v>
      </c>
      <c r="G153" s="15" t="s">
        <v>23</v>
      </c>
      <c r="H153" s="15" t="s">
        <v>183</v>
      </c>
      <c r="I153" s="15" t="s">
        <v>184</v>
      </c>
      <c r="J153" s="19">
        <v>5000000.0</v>
      </c>
      <c r="K153" s="18"/>
      <c r="L153" s="15" t="s">
        <v>89</v>
      </c>
      <c r="M153" s="26">
        <v>1.0</v>
      </c>
      <c r="N153" s="5"/>
      <c r="O153" s="5"/>
      <c r="P153" s="5"/>
      <c r="Q153" s="5"/>
      <c r="R153" s="5"/>
      <c r="S153" s="5"/>
      <c r="T153" s="5"/>
    </row>
    <row r="154">
      <c r="A154" s="11" t="s">
        <v>471</v>
      </c>
      <c r="B154" s="15" t="s">
        <v>91</v>
      </c>
      <c r="C154" s="15" t="s">
        <v>472</v>
      </c>
      <c r="D154" s="15" t="s">
        <v>116</v>
      </c>
      <c r="E154" s="15" t="s">
        <v>90</v>
      </c>
      <c r="F154" s="15" t="s">
        <v>443</v>
      </c>
      <c r="G154" s="15" t="s">
        <v>23</v>
      </c>
      <c r="H154" s="15" t="s">
        <v>183</v>
      </c>
      <c r="I154" s="15" t="s">
        <v>194</v>
      </c>
      <c r="J154" s="19">
        <v>2000000.0</v>
      </c>
      <c r="K154" s="18"/>
      <c r="L154" s="15" t="s">
        <v>89</v>
      </c>
      <c r="M154" s="26">
        <v>2.0</v>
      </c>
      <c r="N154" s="5"/>
      <c r="O154" s="5"/>
      <c r="P154" s="5"/>
      <c r="Q154" s="5"/>
      <c r="R154" s="5"/>
      <c r="S154" s="5"/>
      <c r="T154" s="5"/>
    </row>
    <row r="155">
      <c r="A155" s="11" t="s">
        <v>473</v>
      </c>
      <c r="B155" s="15" t="s">
        <v>91</v>
      </c>
      <c r="C155" s="15" t="s">
        <v>474</v>
      </c>
      <c r="D155" s="15" t="s">
        <v>116</v>
      </c>
      <c r="E155" s="15" t="s">
        <v>90</v>
      </c>
      <c r="F155" s="15" t="s">
        <v>443</v>
      </c>
      <c r="G155" s="15" t="s">
        <v>23</v>
      </c>
      <c r="H155" s="15" t="s">
        <v>183</v>
      </c>
      <c r="I155" s="15" t="s">
        <v>190</v>
      </c>
      <c r="J155" s="19">
        <v>1.75E7</v>
      </c>
      <c r="K155" s="18"/>
      <c r="L155" s="15" t="s">
        <v>89</v>
      </c>
      <c r="M155" s="26">
        <v>5.0</v>
      </c>
      <c r="N155" s="5"/>
      <c r="O155" s="5"/>
      <c r="P155" s="5"/>
      <c r="Q155" s="5"/>
      <c r="R155" s="5"/>
      <c r="S155" s="5"/>
      <c r="T155" s="5"/>
    </row>
    <row r="156">
      <c r="A156" s="11" t="s">
        <v>475</v>
      </c>
      <c r="B156" s="15" t="s">
        <v>91</v>
      </c>
      <c r="C156" s="15" t="s">
        <v>476</v>
      </c>
      <c r="D156" s="15" t="s">
        <v>116</v>
      </c>
      <c r="E156" s="15" t="s">
        <v>90</v>
      </c>
      <c r="F156" s="15" t="s">
        <v>443</v>
      </c>
      <c r="G156" s="15" t="s">
        <v>23</v>
      </c>
      <c r="H156" s="15" t="s">
        <v>183</v>
      </c>
      <c r="I156" s="15" t="s">
        <v>184</v>
      </c>
      <c r="J156" s="19">
        <v>1.05E7</v>
      </c>
      <c r="K156" s="18"/>
      <c r="L156" s="15" t="s">
        <v>89</v>
      </c>
      <c r="M156" s="26">
        <v>3.0</v>
      </c>
      <c r="N156" s="5"/>
      <c r="O156" s="5"/>
      <c r="P156" s="5"/>
      <c r="Q156" s="5"/>
      <c r="R156" s="5"/>
      <c r="S156" s="5"/>
      <c r="T156" s="5"/>
    </row>
    <row r="157">
      <c r="A157" s="11" t="s">
        <v>477</v>
      </c>
      <c r="B157" s="15" t="s">
        <v>91</v>
      </c>
      <c r="C157" s="15" t="s">
        <v>455</v>
      </c>
      <c r="D157" s="15" t="s">
        <v>116</v>
      </c>
      <c r="E157" s="15" t="s">
        <v>90</v>
      </c>
      <c r="F157" s="15" t="s">
        <v>443</v>
      </c>
      <c r="G157" s="15" t="s">
        <v>23</v>
      </c>
      <c r="H157" s="15" t="s">
        <v>183</v>
      </c>
      <c r="I157" s="15" t="s">
        <v>184</v>
      </c>
      <c r="J157" s="19">
        <v>9000000.0</v>
      </c>
      <c r="K157" s="18"/>
      <c r="L157" s="15" t="s">
        <v>89</v>
      </c>
      <c r="M157" s="26">
        <v>2.0</v>
      </c>
      <c r="N157" s="5"/>
      <c r="O157" s="5"/>
      <c r="P157" s="5"/>
      <c r="Q157" s="5"/>
      <c r="R157" s="5"/>
      <c r="S157" s="5"/>
      <c r="T157" s="5"/>
    </row>
    <row r="158">
      <c r="A158" s="11" t="s">
        <v>478</v>
      </c>
      <c r="B158" s="15" t="s">
        <v>91</v>
      </c>
      <c r="C158" s="15" t="s">
        <v>479</v>
      </c>
      <c r="D158" s="15" t="s">
        <v>116</v>
      </c>
      <c r="E158" s="15" t="s">
        <v>90</v>
      </c>
      <c r="F158" s="15" t="s">
        <v>443</v>
      </c>
      <c r="G158" s="15" t="s">
        <v>23</v>
      </c>
      <c r="H158" s="15" t="s">
        <v>183</v>
      </c>
      <c r="I158" s="15" t="s">
        <v>184</v>
      </c>
      <c r="J158" s="19">
        <v>1500000.0</v>
      </c>
      <c r="K158" s="18"/>
      <c r="L158" s="15" t="s">
        <v>89</v>
      </c>
      <c r="M158" s="26">
        <v>2.0</v>
      </c>
      <c r="N158" s="5"/>
      <c r="O158" s="5"/>
      <c r="P158" s="5"/>
      <c r="Q158" s="5"/>
      <c r="R158" s="5"/>
      <c r="S158" s="5"/>
      <c r="T158" s="5"/>
    </row>
    <row r="159">
      <c r="A159" s="11" t="s">
        <v>480</v>
      </c>
      <c r="B159" s="15" t="s">
        <v>91</v>
      </c>
      <c r="C159" s="15" t="s">
        <v>481</v>
      </c>
      <c r="D159" s="15" t="s">
        <v>116</v>
      </c>
      <c r="E159" s="15" t="s">
        <v>90</v>
      </c>
      <c r="F159" s="15" t="s">
        <v>443</v>
      </c>
      <c r="G159" s="15" t="s">
        <v>23</v>
      </c>
      <c r="H159" s="15" t="s">
        <v>183</v>
      </c>
      <c r="I159" s="15" t="s">
        <v>190</v>
      </c>
      <c r="J159" s="19">
        <v>2000000.0</v>
      </c>
      <c r="K159" s="18"/>
      <c r="L159" s="15" t="s">
        <v>89</v>
      </c>
      <c r="M159" s="26">
        <v>2.0</v>
      </c>
      <c r="N159" s="5"/>
      <c r="O159" s="5"/>
      <c r="P159" s="5"/>
      <c r="Q159" s="5"/>
      <c r="R159" s="5"/>
      <c r="S159" s="5"/>
      <c r="T159" s="5"/>
    </row>
    <row r="160">
      <c r="A160" s="11" t="s">
        <v>482</v>
      </c>
      <c r="B160" s="15" t="s">
        <v>91</v>
      </c>
      <c r="C160" s="15" t="s">
        <v>483</v>
      </c>
      <c r="D160" s="15" t="s">
        <v>116</v>
      </c>
      <c r="E160" s="15" t="s">
        <v>90</v>
      </c>
      <c r="F160" s="15" t="s">
        <v>443</v>
      </c>
      <c r="G160" s="15" t="s">
        <v>23</v>
      </c>
      <c r="H160" s="15" t="s">
        <v>183</v>
      </c>
      <c r="I160" s="15" t="s">
        <v>184</v>
      </c>
      <c r="J160" s="19">
        <v>1.35E7</v>
      </c>
      <c r="K160" s="18"/>
      <c r="L160" s="15" t="s">
        <v>89</v>
      </c>
      <c r="M160" s="26">
        <v>1.0</v>
      </c>
      <c r="N160" s="5"/>
      <c r="O160" s="5"/>
      <c r="P160" s="5"/>
      <c r="Q160" s="5"/>
      <c r="R160" s="5"/>
      <c r="S160" s="5"/>
      <c r="T160" s="5"/>
    </row>
    <row r="161">
      <c r="A161" s="11" t="s">
        <v>484</v>
      </c>
      <c r="B161" s="15" t="s">
        <v>91</v>
      </c>
      <c r="C161" s="15" t="s">
        <v>485</v>
      </c>
      <c r="D161" s="15" t="s">
        <v>116</v>
      </c>
      <c r="E161" s="15" t="s">
        <v>90</v>
      </c>
      <c r="F161" s="15" t="s">
        <v>443</v>
      </c>
      <c r="G161" s="15" t="s">
        <v>23</v>
      </c>
      <c r="H161" s="15" t="s">
        <v>183</v>
      </c>
      <c r="I161" s="15" t="s">
        <v>184</v>
      </c>
      <c r="J161" s="19">
        <v>2000000.0</v>
      </c>
      <c r="K161" s="18"/>
      <c r="L161" s="15" t="s">
        <v>89</v>
      </c>
      <c r="M161" s="26">
        <v>1.0</v>
      </c>
      <c r="N161" s="5"/>
      <c r="O161" s="5"/>
      <c r="P161" s="5"/>
      <c r="Q161" s="5"/>
      <c r="R161" s="5"/>
      <c r="S161" s="5"/>
      <c r="T161" s="5"/>
    </row>
    <row r="162">
      <c r="A162" s="11" t="s">
        <v>486</v>
      </c>
      <c r="B162" s="15" t="s">
        <v>84</v>
      </c>
      <c r="C162" s="15" t="s">
        <v>487</v>
      </c>
      <c r="D162" s="15" t="s">
        <v>116</v>
      </c>
      <c r="E162" s="15" t="s">
        <v>83</v>
      </c>
      <c r="F162" s="15" t="s">
        <v>182</v>
      </c>
      <c r="G162" s="15" t="s">
        <v>20</v>
      </c>
      <c r="H162" s="15" t="s">
        <v>183</v>
      </c>
      <c r="I162" s="15" t="s">
        <v>184</v>
      </c>
      <c r="J162" s="19">
        <v>0.0</v>
      </c>
      <c r="K162" s="18"/>
      <c r="L162" s="15" t="s">
        <v>89</v>
      </c>
      <c r="M162" s="20"/>
      <c r="N162" s="5"/>
      <c r="O162" s="5"/>
      <c r="P162" s="5"/>
      <c r="Q162" s="5"/>
      <c r="R162" s="5"/>
      <c r="S162" s="5"/>
      <c r="T162" s="5"/>
    </row>
    <row r="163">
      <c r="A163" s="11" t="s">
        <v>488</v>
      </c>
      <c r="B163" s="15" t="s">
        <v>91</v>
      </c>
      <c r="C163" s="15" t="s">
        <v>489</v>
      </c>
      <c r="D163" s="15" t="s">
        <v>116</v>
      </c>
      <c r="E163" s="15" t="s">
        <v>90</v>
      </c>
      <c r="F163" s="15" t="s">
        <v>490</v>
      </c>
      <c r="G163" s="15" t="s">
        <v>17</v>
      </c>
      <c r="H163" s="15" t="s">
        <v>183</v>
      </c>
      <c r="I163" s="15" t="s">
        <v>190</v>
      </c>
      <c r="J163" s="19">
        <v>5000000.0</v>
      </c>
      <c r="K163" s="15" t="s">
        <v>491</v>
      </c>
      <c r="L163" s="15"/>
      <c r="M163" s="26">
        <v>10.0</v>
      </c>
      <c r="N163" s="5"/>
      <c r="O163" s="5"/>
      <c r="P163" s="5"/>
      <c r="Q163" s="5"/>
      <c r="R163" s="5"/>
      <c r="S163" s="5"/>
      <c r="T163" s="5"/>
    </row>
    <row r="164">
      <c r="A164" s="11" t="s">
        <v>492</v>
      </c>
      <c r="B164" s="15" t="s">
        <v>91</v>
      </c>
      <c r="C164" s="15" t="s">
        <v>493</v>
      </c>
      <c r="D164" s="15" t="s">
        <v>116</v>
      </c>
      <c r="E164" s="15" t="s">
        <v>90</v>
      </c>
      <c r="F164" s="15" t="s">
        <v>490</v>
      </c>
      <c r="G164" s="15" t="s">
        <v>17</v>
      </c>
      <c r="H164" s="15" t="s">
        <v>183</v>
      </c>
      <c r="I164" s="15" t="s">
        <v>190</v>
      </c>
      <c r="J164" s="19">
        <v>1.5E7</v>
      </c>
      <c r="K164" s="15" t="s">
        <v>494</v>
      </c>
      <c r="L164" s="15"/>
      <c r="M164" s="26">
        <v>30.0</v>
      </c>
      <c r="N164" s="5"/>
      <c r="O164" s="5"/>
      <c r="P164" s="5"/>
      <c r="Q164" s="5"/>
      <c r="R164" s="5"/>
      <c r="S164" s="5"/>
      <c r="T164" s="5"/>
    </row>
    <row r="165">
      <c r="A165" s="11" t="s">
        <v>495</v>
      </c>
      <c r="B165" s="15" t="s">
        <v>91</v>
      </c>
      <c r="C165" s="15" t="s">
        <v>496</v>
      </c>
      <c r="D165" s="15" t="s">
        <v>116</v>
      </c>
      <c r="E165" s="15" t="s">
        <v>90</v>
      </c>
      <c r="F165" s="15" t="s">
        <v>490</v>
      </c>
      <c r="G165" s="15" t="s">
        <v>17</v>
      </c>
      <c r="H165" s="15" t="s">
        <v>183</v>
      </c>
      <c r="I165" s="15" t="s">
        <v>190</v>
      </c>
      <c r="J165" s="19">
        <v>750000.0</v>
      </c>
      <c r="K165" s="18"/>
      <c r="L165" s="18"/>
      <c r="M165" s="26">
        <v>1.0</v>
      </c>
      <c r="N165" s="5"/>
      <c r="O165" s="5"/>
      <c r="P165" s="5"/>
      <c r="Q165" s="5"/>
      <c r="R165" s="5"/>
      <c r="S165" s="5"/>
      <c r="T165" s="5"/>
    </row>
    <row r="166">
      <c r="A166" s="11" t="s">
        <v>497</v>
      </c>
      <c r="B166" s="15" t="s">
        <v>91</v>
      </c>
      <c r="C166" s="15" t="s">
        <v>498</v>
      </c>
      <c r="D166" s="15" t="s">
        <v>116</v>
      </c>
      <c r="E166" s="15" t="s">
        <v>90</v>
      </c>
      <c r="F166" s="15" t="s">
        <v>490</v>
      </c>
      <c r="G166" s="15" t="s">
        <v>17</v>
      </c>
      <c r="H166" s="15" t="s">
        <v>183</v>
      </c>
      <c r="I166" s="15" t="s">
        <v>190</v>
      </c>
      <c r="J166" s="19">
        <v>500000.0</v>
      </c>
      <c r="K166" s="18"/>
      <c r="L166" s="18"/>
      <c r="M166" s="26">
        <v>1.0</v>
      </c>
      <c r="N166" s="5"/>
      <c r="O166" s="5"/>
      <c r="P166" s="5"/>
      <c r="Q166" s="5"/>
      <c r="R166" s="5"/>
      <c r="S166" s="5"/>
      <c r="T166" s="5"/>
    </row>
    <row r="167">
      <c r="A167" s="11" t="s">
        <v>499</v>
      </c>
      <c r="B167" s="15" t="s">
        <v>91</v>
      </c>
      <c r="C167" s="15" t="s">
        <v>226</v>
      </c>
      <c r="D167" s="15" t="s">
        <v>116</v>
      </c>
      <c r="E167" s="15" t="s">
        <v>90</v>
      </c>
      <c r="F167" s="15" t="s">
        <v>490</v>
      </c>
      <c r="G167" s="15" t="s">
        <v>17</v>
      </c>
      <c r="H167" s="15" t="s">
        <v>183</v>
      </c>
      <c r="I167" s="15" t="s">
        <v>190</v>
      </c>
      <c r="J167" s="19">
        <v>775000.0</v>
      </c>
      <c r="K167" s="15" t="s">
        <v>500</v>
      </c>
      <c r="L167" s="18"/>
      <c r="M167" s="26">
        <v>1.0</v>
      </c>
      <c r="N167" s="5"/>
      <c r="O167" s="5"/>
      <c r="P167" s="5"/>
      <c r="Q167" s="5"/>
      <c r="R167" s="5"/>
      <c r="S167" s="5"/>
      <c r="T167" s="5"/>
    </row>
    <row r="168">
      <c r="A168" s="11" t="s">
        <v>501</v>
      </c>
      <c r="B168" s="15" t="s">
        <v>91</v>
      </c>
      <c r="C168" s="15" t="s">
        <v>502</v>
      </c>
      <c r="D168" s="15" t="s">
        <v>116</v>
      </c>
      <c r="E168" s="15" t="s">
        <v>90</v>
      </c>
      <c r="F168" s="15" t="s">
        <v>490</v>
      </c>
      <c r="G168" s="15" t="s">
        <v>17</v>
      </c>
      <c r="H168" s="15" t="s">
        <v>183</v>
      </c>
      <c r="I168" s="15" t="s">
        <v>190</v>
      </c>
      <c r="J168" s="19">
        <v>3000000.0</v>
      </c>
      <c r="K168" s="18"/>
      <c r="L168" s="18"/>
      <c r="M168" s="26">
        <v>2.0</v>
      </c>
      <c r="N168" s="5"/>
      <c r="O168" s="5"/>
      <c r="P168" s="5"/>
      <c r="Q168" s="5"/>
      <c r="R168" s="5"/>
      <c r="S168" s="5"/>
      <c r="T168" s="5"/>
    </row>
    <row r="169">
      <c r="A169" s="11" t="s">
        <v>503</v>
      </c>
      <c r="B169" s="15" t="s">
        <v>91</v>
      </c>
      <c r="C169" s="15" t="s">
        <v>481</v>
      </c>
      <c r="D169" s="15" t="s">
        <v>116</v>
      </c>
      <c r="E169" s="15" t="s">
        <v>90</v>
      </c>
      <c r="F169" s="15" t="s">
        <v>490</v>
      </c>
      <c r="G169" s="15" t="s">
        <v>17</v>
      </c>
      <c r="H169" s="15" t="s">
        <v>183</v>
      </c>
      <c r="I169" s="15" t="s">
        <v>190</v>
      </c>
      <c r="J169" s="19">
        <v>1500000.0</v>
      </c>
      <c r="K169" s="18"/>
      <c r="L169" s="18"/>
      <c r="M169" s="26">
        <v>1.0</v>
      </c>
      <c r="N169" s="5"/>
      <c r="O169" s="5"/>
      <c r="P169" s="5"/>
      <c r="Q169" s="5"/>
      <c r="R169" s="5"/>
      <c r="S169" s="5"/>
      <c r="T169" s="5"/>
    </row>
    <row r="170">
      <c r="A170" s="11" t="s">
        <v>504</v>
      </c>
      <c r="B170" s="15" t="s">
        <v>91</v>
      </c>
      <c r="C170" s="15" t="s">
        <v>505</v>
      </c>
      <c r="D170" s="15" t="s">
        <v>116</v>
      </c>
      <c r="E170" s="15" t="s">
        <v>90</v>
      </c>
      <c r="F170" s="15" t="s">
        <v>490</v>
      </c>
      <c r="G170" s="15" t="s">
        <v>17</v>
      </c>
      <c r="H170" s="15" t="s">
        <v>183</v>
      </c>
      <c r="I170" s="15" t="s">
        <v>190</v>
      </c>
      <c r="J170" s="19">
        <v>2000000.0</v>
      </c>
      <c r="K170" s="18"/>
      <c r="L170" s="18"/>
      <c r="M170" s="26">
        <v>1.0</v>
      </c>
      <c r="N170" s="5"/>
      <c r="O170" s="5"/>
      <c r="P170" s="5"/>
      <c r="Q170" s="5"/>
      <c r="R170" s="5"/>
      <c r="S170" s="5"/>
      <c r="T170" s="5"/>
    </row>
    <row r="171">
      <c r="A171" s="11" t="s">
        <v>506</v>
      </c>
      <c r="B171" s="15" t="s">
        <v>91</v>
      </c>
      <c r="C171" s="15" t="s">
        <v>507</v>
      </c>
      <c r="D171" s="15" t="s">
        <v>116</v>
      </c>
      <c r="E171" s="15" t="s">
        <v>90</v>
      </c>
      <c r="F171" s="15" t="s">
        <v>490</v>
      </c>
      <c r="G171" s="15" t="s">
        <v>17</v>
      </c>
      <c r="H171" s="15" t="s">
        <v>183</v>
      </c>
      <c r="I171" s="15" t="s">
        <v>190</v>
      </c>
      <c r="J171" s="19">
        <v>5000000.0</v>
      </c>
      <c r="K171" s="15" t="s">
        <v>508</v>
      </c>
      <c r="L171" s="18"/>
      <c r="M171" s="26">
        <v>1.0</v>
      </c>
      <c r="N171" s="5"/>
      <c r="O171" s="5"/>
      <c r="P171" s="5"/>
      <c r="Q171" s="5"/>
      <c r="R171" s="5"/>
      <c r="S171" s="5"/>
      <c r="T171" s="5"/>
    </row>
    <row r="172">
      <c r="A172" s="11" t="s">
        <v>509</v>
      </c>
      <c r="B172" s="15" t="s">
        <v>91</v>
      </c>
      <c r="C172" s="15" t="s">
        <v>510</v>
      </c>
      <c r="D172" s="15" t="s">
        <v>116</v>
      </c>
      <c r="E172" s="15" t="s">
        <v>90</v>
      </c>
      <c r="F172" s="15" t="s">
        <v>490</v>
      </c>
      <c r="G172" s="15" t="s">
        <v>17</v>
      </c>
      <c r="H172" s="15" t="s">
        <v>183</v>
      </c>
      <c r="I172" s="15" t="s">
        <v>190</v>
      </c>
      <c r="J172" s="19">
        <v>7000000.0</v>
      </c>
      <c r="K172" s="15" t="s">
        <v>511</v>
      </c>
      <c r="L172" s="18"/>
      <c r="M172" s="26">
        <v>10.0</v>
      </c>
      <c r="N172" s="5"/>
      <c r="O172" s="5"/>
      <c r="P172" s="5"/>
      <c r="Q172" s="5"/>
      <c r="R172" s="5"/>
      <c r="S172" s="5"/>
      <c r="T172" s="5"/>
    </row>
    <row r="173">
      <c r="A173" s="11" t="s">
        <v>512</v>
      </c>
      <c r="B173" s="15" t="s">
        <v>91</v>
      </c>
      <c r="C173" s="15" t="s">
        <v>513</v>
      </c>
      <c r="D173" s="15" t="s">
        <v>116</v>
      </c>
      <c r="E173" s="15" t="s">
        <v>90</v>
      </c>
      <c r="F173" s="15" t="s">
        <v>490</v>
      </c>
      <c r="G173" s="15" t="s">
        <v>17</v>
      </c>
      <c r="H173" s="15" t="s">
        <v>183</v>
      </c>
      <c r="I173" s="15" t="s">
        <v>190</v>
      </c>
      <c r="J173" s="19">
        <v>1695400.0</v>
      </c>
      <c r="K173" s="18"/>
      <c r="L173" s="18"/>
      <c r="M173" s="26">
        <v>1.0</v>
      </c>
      <c r="N173" s="5"/>
      <c r="O173" s="5"/>
      <c r="P173" s="5"/>
      <c r="Q173" s="5"/>
      <c r="R173" s="5"/>
      <c r="S173" s="5"/>
      <c r="T173" s="5"/>
    </row>
    <row r="174">
      <c r="A174" s="11" t="s">
        <v>514</v>
      </c>
      <c r="B174" s="15" t="s">
        <v>91</v>
      </c>
      <c r="C174" s="15" t="s">
        <v>515</v>
      </c>
      <c r="D174" s="15" t="s">
        <v>116</v>
      </c>
      <c r="E174" s="15" t="s">
        <v>90</v>
      </c>
      <c r="F174" s="15" t="s">
        <v>490</v>
      </c>
      <c r="G174" s="15" t="s">
        <v>17</v>
      </c>
      <c r="H174" s="15" t="s">
        <v>183</v>
      </c>
      <c r="I174" s="15" t="s">
        <v>190</v>
      </c>
      <c r="J174" s="19">
        <v>905000.0</v>
      </c>
      <c r="K174" s="18"/>
      <c r="L174" s="18"/>
      <c r="M174" s="26">
        <v>1.0</v>
      </c>
      <c r="N174" s="5"/>
      <c r="O174" s="5"/>
      <c r="P174" s="5"/>
      <c r="Q174" s="5"/>
      <c r="R174" s="5"/>
      <c r="S174" s="5"/>
      <c r="T174" s="5"/>
    </row>
    <row r="175">
      <c r="A175" s="11" t="s">
        <v>516</v>
      </c>
      <c r="B175" s="15" t="s">
        <v>91</v>
      </c>
      <c r="C175" s="15" t="s">
        <v>517</v>
      </c>
      <c r="D175" s="15" t="s">
        <v>116</v>
      </c>
      <c r="E175" s="15" t="s">
        <v>90</v>
      </c>
      <c r="F175" s="15" t="s">
        <v>490</v>
      </c>
      <c r="G175" s="15" t="s">
        <v>17</v>
      </c>
      <c r="H175" s="15" t="s">
        <v>183</v>
      </c>
      <c r="I175" s="15" t="s">
        <v>190</v>
      </c>
      <c r="J175" s="19">
        <v>4175000.0</v>
      </c>
      <c r="K175" s="15" t="s">
        <v>518</v>
      </c>
      <c r="L175" s="18"/>
      <c r="M175" s="26">
        <v>1.0</v>
      </c>
      <c r="N175" s="5"/>
      <c r="O175" s="5"/>
      <c r="P175" s="5"/>
      <c r="Q175" s="5"/>
      <c r="R175" s="5"/>
      <c r="S175" s="5"/>
      <c r="T175" s="5"/>
    </row>
    <row r="176">
      <c r="A176" s="11" t="s">
        <v>519</v>
      </c>
      <c r="B176" s="15" t="s">
        <v>91</v>
      </c>
      <c r="C176" s="15" t="s">
        <v>520</v>
      </c>
      <c r="D176" s="15" t="s">
        <v>116</v>
      </c>
      <c r="E176" s="15" t="s">
        <v>90</v>
      </c>
      <c r="F176" s="15" t="s">
        <v>490</v>
      </c>
      <c r="G176" s="15" t="s">
        <v>17</v>
      </c>
      <c r="H176" s="15" t="s">
        <v>183</v>
      </c>
      <c r="I176" s="15" t="s">
        <v>194</v>
      </c>
      <c r="J176" s="19">
        <v>4500000.0</v>
      </c>
      <c r="K176" s="18"/>
      <c r="L176" s="18"/>
      <c r="M176" s="26">
        <v>60.0</v>
      </c>
      <c r="N176" s="5"/>
      <c r="O176" s="5"/>
      <c r="P176" s="5"/>
      <c r="Q176" s="5"/>
      <c r="R176" s="5"/>
      <c r="S176" s="5"/>
      <c r="T176" s="5"/>
    </row>
    <row r="177">
      <c r="A177" s="11" t="s">
        <v>521</v>
      </c>
      <c r="B177" s="15" t="s">
        <v>91</v>
      </c>
      <c r="C177" s="15" t="s">
        <v>522</v>
      </c>
      <c r="D177" s="15" t="s">
        <v>116</v>
      </c>
      <c r="E177" s="15" t="s">
        <v>90</v>
      </c>
      <c r="F177" s="15" t="s">
        <v>490</v>
      </c>
      <c r="G177" s="15" t="s">
        <v>17</v>
      </c>
      <c r="H177" s="15" t="s">
        <v>183</v>
      </c>
      <c r="I177" s="15" t="s">
        <v>190</v>
      </c>
      <c r="J177" s="19">
        <v>1500000.0</v>
      </c>
      <c r="K177" s="18"/>
      <c r="L177" s="18"/>
      <c r="M177" s="26">
        <v>1.0</v>
      </c>
      <c r="N177" s="5"/>
      <c r="O177" s="5"/>
      <c r="P177" s="5"/>
      <c r="Q177" s="5"/>
      <c r="R177" s="5"/>
      <c r="S177" s="5"/>
      <c r="T177" s="5"/>
    </row>
    <row r="178">
      <c r="A178" s="11" t="s">
        <v>523</v>
      </c>
      <c r="B178" s="15" t="s">
        <v>91</v>
      </c>
      <c r="C178" s="15" t="s">
        <v>524</v>
      </c>
      <c r="D178" s="15" t="s">
        <v>116</v>
      </c>
      <c r="E178" s="15" t="s">
        <v>90</v>
      </c>
      <c r="F178" s="15" t="s">
        <v>490</v>
      </c>
      <c r="G178" s="15" t="s">
        <v>17</v>
      </c>
      <c r="H178" s="15" t="s">
        <v>183</v>
      </c>
      <c r="I178" s="15" t="s">
        <v>190</v>
      </c>
      <c r="J178" s="19">
        <v>7700000.0</v>
      </c>
      <c r="K178" s="15" t="s">
        <v>525</v>
      </c>
      <c r="L178" s="18"/>
      <c r="M178" s="26">
        <v>11.0</v>
      </c>
      <c r="N178" s="5"/>
      <c r="O178" s="5"/>
      <c r="P178" s="5"/>
      <c r="Q178" s="5"/>
      <c r="R178" s="5"/>
      <c r="S178" s="5"/>
      <c r="T178" s="5"/>
    </row>
    <row r="179">
      <c r="A179" s="11" t="s">
        <v>526</v>
      </c>
      <c r="B179" s="15" t="s">
        <v>91</v>
      </c>
      <c r="C179" s="15" t="s">
        <v>527</v>
      </c>
      <c r="D179" s="15" t="s">
        <v>116</v>
      </c>
      <c r="E179" s="15" t="s">
        <v>90</v>
      </c>
      <c r="F179" s="15" t="s">
        <v>490</v>
      </c>
      <c r="G179" s="15" t="s">
        <v>17</v>
      </c>
      <c r="H179" s="15" t="s">
        <v>183</v>
      </c>
      <c r="I179" s="15" t="s">
        <v>190</v>
      </c>
      <c r="J179" s="19"/>
      <c r="K179" s="15" t="s">
        <v>528</v>
      </c>
      <c r="L179" s="18"/>
      <c r="M179" s="26">
        <v>1.0</v>
      </c>
      <c r="N179" s="5"/>
      <c r="O179" s="5"/>
      <c r="P179" s="5"/>
      <c r="Q179" s="5"/>
      <c r="R179" s="5"/>
      <c r="S179" s="5"/>
      <c r="T179" s="5"/>
    </row>
    <row r="180">
      <c r="A180" s="11" t="s">
        <v>529</v>
      </c>
      <c r="B180" s="15" t="s">
        <v>91</v>
      </c>
      <c r="C180" s="15" t="s">
        <v>530</v>
      </c>
      <c r="D180" s="15" t="s">
        <v>116</v>
      </c>
      <c r="E180" s="15" t="s">
        <v>90</v>
      </c>
      <c r="F180" s="15" t="s">
        <v>490</v>
      </c>
      <c r="G180" s="15" t="s">
        <v>17</v>
      </c>
      <c r="H180" s="15" t="s">
        <v>183</v>
      </c>
      <c r="I180" s="15" t="s">
        <v>190</v>
      </c>
      <c r="J180" s="19"/>
      <c r="K180" s="15" t="s">
        <v>531</v>
      </c>
      <c r="L180" s="18"/>
      <c r="M180" s="26">
        <v>1.0</v>
      </c>
      <c r="N180" s="5"/>
      <c r="O180" s="5"/>
      <c r="P180" s="5"/>
      <c r="Q180" s="5"/>
      <c r="R180" s="5"/>
      <c r="S180" s="5"/>
      <c r="T180" s="5"/>
    </row>
    <row r="181">
      <c r="A181" s="11" t="s">
        <v>532</v>
      </c>
      <c r="B181" s="15" t="s">
        <v>91</v>
      </c>
      <c r="C181" s="15" t="s">
        <v>533</v>
      </c>
      <c r="D181" s="15" t="s">
        <v>116</v>
      </c>
      <c r="E181" s="15" t="s">
        <v>90</v>
      </c>
      <c r="F181" s="15" t="s">
        <v>490</v>
      </c>
      <c r="G181" s="15" t="s">
        <v>17</v>
      </c>
      <c r="H181" s="15" t="s">
        <v>183</v>
      </c>
      <c r="I181" s="15" t="s">
        <v>190</v>
      </c>
      <c r="J181" s="19">
        <v>1800000.0</v>
      </c>
      <c r="K181" s="15" t="s">
        <v>500</v>
      </c>
      <c r="L181" s="18"/>
      <c r="M181" s="26">
        <v>6.0</v>
      </c>
      <c r="N181" s="5"/>
      <c r="O181" s="5"/>
      <c r="P181" s="5"/>
      <c r="Q181" s="5"/>
      <c r="R181" s="5"/>
      <c r="S181" s="5"/>
      <c r="T181" s="5"/>
    </row>
    <row r="182">
      <c r="A182" s="11" t="s">
        <v>534</v>
      </c>
      <c r="B182" s="15" t="s">
        <v>91</v>
      </c>
      <c r="C182" s="15" t="s">
        <v>535</v>
      </c>
      <c r="D182" s="15" t="s">
        <v>116</v>
      </c>
      <c r="E182" s="15" t="s">
        <v>90</v>
      </c>
      <c r="F182" s="15" t="s">
        <v>490</v>
      </c>
      <c r="G182" s="15" t="s">
        <v>17</v>
      </c>
      <c r="H182" s="15" t="s">
        <v>183</v>
      </c>
      <c r="I182" s="15" t="s">
        <v>190</v>
      </c>
      <c r="J182" s="19">
        <v>840000.0</v>
      </c>
      <c r="K182" s="18"/>
      <c r="L182" s="18"/>
      <c r="M182" s="26">
        <v>12.0</v>
      </c>
      <c r="N182" s="5"/>
      <c r="O182" s="5"/>
      <c r="P182" s="5"/>
      <c r="Q182" s="5"/>
      <c r="R182" s="5"/>
      <c r="S182" s="5"/>
      <c r="T182" s="5"/>
    </row>
    <row r="183">
      <c r="A183" s="11" t="s">
        <v>536</v>
      </c>
      <c r="B183" s="15" t="s">
        <v>91</v>
      </c>
      <c r="C183" s="15" t="s">
        <v>517</v>
      </c>
      <c r="D183" s="15" t="s">
        <v>116</v>
      </c>
      <c r="E183" s="15" t="s">
        <v>90</v>
      </c>
      <c r="F183" s="15" t="s">
        <v>490</v>
      </c>
      <c r="G183" s="15" t="s">
        <v>17</v>
      </c>
      <c r="H183" s="15" t="s">
        <v>183</v>
      </c>
      <c r="I183" s="15" t="s">
        <v>194</v>
      </c>
      <c r="J183" s="19">
        <v>4175000.0</v>
      </c>
      <c r="K183" s="18"/>
      <c r="L183" s="18"/>
      <c r="M183" s="26">
        <v>1.0</v>
      </c>
      <c r="N183" s="5"/>
      <c r="O183" s="5"/>
      <c r="P183" s="5"/>
      <c r="Q183" s="5"/>
      <c r="R183" s="5"/>
      <c r="S183" s="5"/>
      <c r="T183" s="5"/>
    </row>
    <row r="184">
      <c r="A184" s="11" t="s">
        <v>537</v>
      </c>
      <c r="B184" s="15" t="s">
        <v>91</v>
      </c>
      <c r="C184" s="15" t="s">
        <v>538</v>
      </c>
      <c r="D184" s="15" t="s">
        <v>116</v>
      </c>
      <c r="E184" s="15" t="s">
        <v>90</v>
      </c>
      <c r="F184" s="15" t="s">
        <v>490</v>
      </c>
      <c r="G184" s="15" t="s">
        <v>17</v>
      </c>
      <c r="H184" s="15" t="s">
        <v>183</v>
      </c>
      <c r="I184" s="15" t="s">
        <v>190</v>
      </c>
      <c r="J184" s="19">
        <v>2200000.0</v>
      </c>
      <c r="K184" s="15" t="s">
        <v>500</v>
      </c>
      <c r="L184" s="18"/>
      <c r="M184" s="26">
        <v>4.0</v>
      </c>
      <c r="N184" s="5"/>
      <c r="O184" s="5"/>
      <c r="P184" s="5"/>
      <c r="Q184" s="5"/>
      <c r="R184" s="5"/>
      <c r="S184" s="5"/>
      <c r="T184" s="5"/>
    </row>
    <row r="185">
      <c r="A185" s="11" t="s">
        <v>539</v>
      </c>
      <c r="B185" s="15" t="s">
        <v>91</v>
      </c>
      <c r="C185" s="15" t="s">
        <v>540</v>
      </c>
      <c r="D185" s="15" t="s">
        <v>116</v>
      </c>
      <c r="E185" s="15" t="s">
        <v>90</v>
      </c>
      <c r="F185" s="15" t="s">
        <v>490</v>
      </c>
      <c r="G185" s="15" t="s">
        <v>17</v>
      </c>
      <c r="H185" s="15" t="s">
        <v>183</v>
      </c>
      <c r="I185" s="15" t="s">
        <v>190</v>
      </c>
      <c r="J185" s="19">
        <v>100000.0</v>
      </c>
      <c r="K185" s="15" t="s">
        <v>500</v>
      </c>
      <c r="L185" s="18"/>
      <c r="M185" s="26">
        <v>1.0</v>
      </c>
      <c r="N185" s="5"/>
      <c r="O185" s="5"/>
      <c r="P185" s="5"/>
      <c r="Q185" s="5"/>
      <c r="R185" s="5"/>
      <c r="S185" s="5"/>
      <c r="T185" s="5"/>
    </row>
    <row r="186">
      <c r="A186" s="11" t="s">
        <v>541</v>
      </c>
      <c r="B186" s="15" t="s">
        <v>91</v>
      </c>
      <c r="C186" s="15" t="s">
        <v>542</v>
      </c>
      <c r="D186" s="15" t="s">
        <v>116</v>
      </c>
      <c r="E186" s="15" t="s">
        <v>90</v>
      </c>
      <c r="F186" s="15" t="s">
        <v>490</v>
      </c>
      <c r="G186" s="15" t="s">
        <v>17</v>
      </c>
      <c r="H186" s="15" t="s">
        <v>183</v>
      </c>
      <c r="I186" s="15" t="s">
        <v>190</v>
      </c>
      <c r="J186" s="19">
        <v>1000000.0</v>
      </c>
      <c r="K186" s="15" t="s">
        <v>500</v>
      </c>
      <c r="L186" s="18"/>
      <c r="M186" s="26">
        <v>2.0</v>
      </c>
      <c r="N186" s="5"/>
      <c r="O186" s="5"/>
      <c r="P186" s="5"/>
      <c r="Q186" s="5"/>
      <c r="R186" s="5"/>
      <c r="S186" s="5"/>
      <c r="T186" s="5"/>
    </row>
    <row r="187">
      <c r="A187" s="11" t="s">
        <v>543</v>
      </c>
      <c r="B187" s="15" t="s">
        <v>91</v>
      </c>
      <c r="C187" s="15" t="s">
        <v>544</v>
      </c>
      <c r="D187" s="15" t="s">
        <v>116</v>
      </c>
      <c r="E187" s="15" t="s">
        <v>90</v>
      </c>
      <c r="F187" s="15" t="s">
        <v>490</v>
      </c>
      <c r="G187" s="15" t="s">
        <v>17</v>
      </c>
      <c r="H187" s="15" t="s">
        <v>183</v>
      </c>
      <c r="I187" s="15" t="s">
        <v>190</v>
      </c>
      <c r="J187" s="19">
        <v>800000.0</v>
      </c>
      <c r="K187" s="15" t="s">
        <v>500</v>
      </c>
      <c r="L187" s="18"/>
      <c r="M187" s="26">
        <v>2.0</v>
      </c>
      <c r="N187" s="5"/>
      <c r="O187" s="5"/>
      <c r="P187" s="5"/>
      <c r="Q187" s="5"/>
      <c r="R187" s="5"/>
      <c r="S187" s="5"/>
      <c r="T187" s="5"/>
    </row>
    <row r="188">
      <c r="A188" s="11" t="s">
        <v>545</v>
      </c>
      <c r="B188" s="15" t="s">
        <v>91</v>
      </c>
      <c r="C188" s="15" t="s">
        <v>546</v>
      </c>
      <c r="D188" s="15" t="s">
        <v>116</v>
      </c>
      <c r="E188" s="15" t="s">
        <v>90</v>
      </c>
      <c r="F188" s="15" t="s">
        <v>490</v>
      </c>
      <c r="G188" s="15" t="s">
        <v>17</v>
      </c>
      <c r="H188" s="15" t="s">
        <v>183</v>
      </c>
      <c r="I188" s="15" t="s">
        <v>190</v>
      </c>
      <c r="J188" s="19">
        <v>6400000.0</v>
      </c>
      <c r="K188" s="15" t="s">
        <v>500</v>
      </c>
      <c r="L188" s="18"/>
      <c r="M188" s="26">
        <v>2.0</v>
      </c>
      <c r="N188" s="5"/>
      <c r="O188" s="5"/>
      <c r="P188" s="5"/>
      <c r="Q188" s="5"/>
      <c r="R188" s="5"/>
      <c r="S188" s="5"/>
      <c r="T188" s="5"/>
    </row>
    <row r="189">
      <c r="A189" s="11" t="s">
        <v>547</v>
      </c>
      <c r="B189" s="15" t="s">
        <v>91</v>
      </c>
      <c r="C189" s="15" t="s">
        <v>548</v>
      </c>
      <c r="D189" s="15" t="s">
        <v>116</v>
      </c>
      <c r="E189" s="15" t="s">
        <v>90</v>
      </c>
      <c r="F189" s="15" t="s">
        <v>490</v>
      </c>
      <c r="G189" s="15" t="s">
        <v>17</v>
      </c>
      <c r="H189" s="15" t="s">
        <v>183</v>
      </c>
      <c r="I189" s="15" t="s">
        <v>194</v>
      </c>
      <c r="J189" s="19">
        <v>1.0E7</v>
      </c>
      <c r="K189" s="15" t="s">
        <v>500</v>
      </c>
      <c r="L189" s="18"/>
      <c r="M189" s="26">
        <v>2.0</v>
      </c>
      <c r="N189" s="5"/>
      <c r="O189" s="5"/>
      <c r="P189" s="5"/>
      <c r="Q189" s="5"/>
      <c r="R189" s="5"/>
      <c r="S189" s="5"/>
      <c r="T189" s="5"/>
    </row>
    <row r="190">
      <c r="A190" s="11" t="s">
        <v>549</v>
      </c>
      <c r="B190" s="15" t="s">
        <v>91</v>
      </c>
      <c r="C190" s="15" t="s">
        <v>550</v>
      </c>
      <c r="D190" s="15" t="s">
        <v>116</v>
      </c>
      <c r="E190" s="15" t="s">
        <v>90</v>
      </c>
      <c r="F190" s="15" t="s">
        <v>490</v>
      </c>
      <c r="G190" s="15" t="s">
        <v>17</v>
      </c>
      <c r="H190" s="15" t="s">
        <v>183</v>
      </c>
      <c r="I190" s="15" t="s">
        <v>194</v>
      </c>
      <c r="J190" s="19"/>
      <c r="K190" s="18"/>
      <c r="L190" s="18"/>
      <c r="M190" s="26">
        <v>2.0</v>
      </c>
      <c r="N190" s="5"/>
      <c r="O190" s="5"/>
      <c r="P190" s="5"/>
      <c r="Q190" s="5"/>
      <c r="R190" s="5"/>
      <c r="S190" s="5"/>
      <c r="T190" s="5"/>
    </row>
    <row r="191">
      <c r="A191" s="11" t="s">
        <v>551</v>
      </c>
      <c r="B191" s="15" t="s">
        <v>91</v>
      </c>
      <c r="C191" s="15" t="s">
        <v>552</v>
      </c>
      <c r="D191" s="15" t="s">
        <v>116</v>
      </c>
      <c r="E191" s="15" t="s">
        <v>90</v>
      </c>
      <c r="F191" s="15" t="s">
        <v>490</v>
      </c>
      <c r="G191" s="15" t="s">
        <v>17</v>
      </c>
      <c r="H191" s="15" t="s">
        <v>183</v>
      </c>
      <c r="I191" s="15" t="s">
        <v>194</v>
      </c>
      <c r="J191" s="19">
        <v>3000000.0</v>
      </c>
      <c r="K191" s="18"/>
      <c r="L191" s="18"/>
      <c r="M191" s="26">
        <v>4.0</v>
      </c>
      <c r="N191" s="5"/>
      <c r="O191" s="5"/>
      <c r="P191" s="5"/>
      <c r="Q191" s="5"/>
      <c r="R191" s="5"/>
      <c r="S191" s="5"/>
      <c r="T191" s="5"/>
    </row>
    <row r="192">
      <c r="A192" s="11" t="s">
        <v>553</v>
      </c>
      <c r="B192" s="15" t="s">
        <v>91</v>
      </c>
      <c r="C192" s="15" t="s">
        <v>554</v>
      </c>
      <c r="D192" s="15" t="s">
        <v>116</v>
      </c>
      <c r="E192" s="15" t="s">
        <v>90</v>
      </c>
      <c r="F192" s="15" t="s">
        <v>490</v>
      </c>
      <c r="G192" s="15" t="s">
        <v>17</v>
      </c>
      <c r="H192" s="15" t="s">
        <v>183</v>
      </c>
      <c r="I192" s="15" t="s">
        <v>190</v>
      </c>
      <c r="J192" s="19">
        <v>300000.0</v>
      </c>
      <c r="K192" s="18"/>
      <c r="L192" s="18"/>
      <c r="M192" s="26">
        <v>2.0</v>
      </c>
      <c r="N192" s="5"/>
      <c r="O192" s="5"/>
      <c r="P192" s="5"/>
      <c r="Q192" s="5"/>
      <c r="R192" s="5"/>
      <c r="S192" s="5"/>
      <c r="T192" s="5"/>
    </row>
    <row r="193">
      <c r="A193" s="11" t="s">
        <v>555</v>
      </c>
      <c r="B193" s="15" t="s">
        <v>91</v>
      </c>
      <c r="C193" s="15" t="s">
        <v>556</v>
      </c>
      <c r="D193" s="15" t="s">
        <v>116</v>
      </c>
      <c r="E193" s="15" t="s">
        <v>90</v>
      </c>
      <c r="F193" s="15" t="s">
        <v>490</v>
      </c>
      <c r="G193" s="15" t="s">
        <v>17</v>
      </c>
      <c r="H193" s="15" t="s">
        <v>183</v>
      </c>
      <c r="I193" s="15" t="s">
        <v>190</v>
      </c>
      <c r="J193" s="19">
        <v>200000.0</v>
      </c>
      <c r="K193" s="18"/>
      <c r="L193" s="18"/>
      <c r="M193" s="26">
        <v>2.0</v>
      </c>
      <c r="N193" s="5"/>
      <c r="O193" s="5"/>
      <c r="P193" s="5"/>
      <c r="Q193" s="5"/>
      <c r="R193" s="5"/>
      <c r="S193" s="5"/>
      <c r="T193" s="5"/>
    </row>
    <row r="194">
      <c r="A194" s="11" t="s">
        <v>557</v>
      </c>
      <c r="B194" s="15" t="s">
        <v>91</v>
      </c>
      <c r="C194" s="15" t="s">
        <v>558</v>
      </c>
      <c r="D194" s="15" t="s">
        <v>116</v>
      </c>
      <c r="E194" s="15" t="s">
        <v>90</v>
      </c>
      <c r="F194" s="15" t="s">
        <v>490</v>
      </c>
      <c r="G194" s="15" t="s">
        <v>17</v>
      </c>
      <c r="H194" s="15" t="s">
        <v>183</v>
      </c>
      <c r="I194" s="15" t="s">
        <v>190</v>
      </c>
      <c r="J194" s="19">
        <v>50000.0</v>
      </c>
      <c r="K194" s="18"/>
      <c r="L194" s="18"/>
      <c r="M194" s="26">
        <v>1.0</v>
      </c>
      <c r="N194" s="5"/>
      <c r="O194" s="5"/>
      <c r="P194" s="5"/>
      <c r="Q194" s="5"/>
      <c r="R194" s="5"/>
      <c r="S194" s="5"/>
      <c r="T194" s="5"/>
    </row>
    <row r="195">
      <c r="A195" s="11" t="s">
        <v>559</v>
      </c>
      <c r="B195" s="15" t="s">
        <v>91</v>
      </c>
      <c r="C195" s="15" t="s">
        <v>560</v>
      </c>
      <c r="D195" s="15" t="s">
        <v>116</v>
      </c>
      <c r="E195" s="15" t="s">
        <v>90</v>
      </c>
      <c r="F195" s="15" t="s">
        <v>490</v>
      </c>
      <c r="G195" s="15" t="s">
        <v>17</v>
      </c>
      <c r="H195" s="15" t="s">
        <v>183</v>
      </c>
      <c r="I195" s="15" t="s">
        <v>190</v>
      </c>
      <c r="J195" s="19">
        <v>0.0</v>
      </c>
      <c r="K195" s="18"/>
      <c r="L195" s="18"/>
      <c r="M195" s="26">
        <v>1.0</v>
      </c>
      <c r="N195" s="5"/>
      <c r="O195" s="5"/>
      <c r="P195" s="5"/>
      <c r="Q195" s="5"/>
      <c r="R195" s="5"/>
      <c r="S195" s="5"/>
      <c r="T195" s="5"/>
    </row>
    <row r="196">
      <c r="A196" s="11" t="s">
        <v>561</v>
      </c>
      <c r="B196" s="15" t="s">
        <v>91</v>
      </c>
      <c r="C196" s="15" t="s">
        <v>562</v>
      </c>
      <c r="D196" s="15" t="s">
        <v>116</v>
      </c>
      <c r="E196" s="15" t="s">
        <v>90</v>
      </c>
      <c r="F196" s="15" t="s">
        <v>490</v>
      </c>
      <c r="G196" s="15" t="s">
        <v>17</v>
      </c>
      <c r="H196" s="15" t="s">
        <v>183</v>
      </c>
      <c r="I196" s="15" t="s">
        <v>190</v>
      </c>
      <c r="J196" s="19">
        <v>700000.0</v>
      </c>
      <c r="K196" s="18"/>
      <c r="L196" s="18"/>
      <c r="M196" s="26">
        <v>2.0</v>
      </c>
      <c r="N196" s="5"/>
      <c r="O196" s="5"/>
      <c r="P196" s="5"/>
      <c r="Q196" s="5"/>
      <c r="R196" s="5"/>
      <c r="S196" s="5"/>
      <c r="T196" s="5"/>
    </row>
    <row r="197">
      <c r="A197" s="11" t="s">
        <v>563</v>
      </c>
      <c r="B197" s="15" t="s">
        <v>91</v>
      </c>
      <c r="C197" s="15" t="s">
        <v>564</v>
      </c>
      <c r="D197" s="15" t="s">
        <v>116</v>
      </c>
      <c r="E197" s="15" t="s">
        <v>90</v>
      </c>
      <c r="F197" s="15" t="s">
        <v>490</v>
      </c>
      <c r="G197" s="15" t="s">
        <v>17</v>
      </c>
      <c r="H197" s="15" t="s">
        <v>183</v>
      </c>
      <c r="I197" s="15" t="s">
        <v>190</v>
      </c>
      <c r="J197" s="19">
        <v>160000.0</v>
      </c>
      <c r="K197" s="18"/>
      <c r="L197" s="18"/>
      <c r="M197" s="26">
        <v>2.0</v>
      </c>
      <c r="N197" s="5"/>
      <c r="O197" s="5"/>
      <c r="P197" s="5"/>
      <c r="Q197" s="5"/>
      <c r="R197" s="5"/>
      <c r="S197" s="5"/>
      <c r="T197" s="5"/>
    </row>
    <row r="198">
      <c r="A198" s="11" t="s">
        <v>565</v>
      </c>
      <c r="B198" s="15" t="s">
        <v>91</v>
      </c>
      <c r="C198" s="15" t="s">
        <v>566</v>
      </c>
      <c r="D198" s="15" t="s">
        <v>116</v>
      </c>
      <c r="E198" s="15" t="s">
        <v>90</v>
      </c>
      <c r="F198" s="15" t="s">
        <v>490</v>
      </c>
      <c r="G198" s="15" t="s">
        <v>17</v>
      </c>
      <c r="H198" s="15" t="s">
        <v>183</v>
      </c>
      <c r="I198" s="15" t="s">
        <v>194</v>
      </c>
      <c r="J198" s="19">
        <v>1600000.0</v>
      </c>
      <c r="K198" s="18"/>
      <c r="L198" s="18"/>
      <c r="M198" s="26">
        <v>1.0</v>
      </c>
      <c r="N198" s="5"/>
      <c r="O198" s="5"/>
      <c r="P198" s="5"/>
      <c r="Q198" s="5"/>
      <c r="R198" s="5"/>
      <c r="S198" s="5"/>
      <c r="T198" s="5"/>
    </row>
    <row r="199">
      <c r="A199" s="11" t="s">
        <v>567</v>
      </c>
      <c r="B199" s="15" t="s">
        <v>91</v>
      </c>
      <c r="C199" s="15" t="s">
        <v>568</v>
      </c>
      <c r="D199" s="15" t="s">
        <v>116</v>
      </c>
      <c r="E199" s="15" t="s">
        <v>90</v>
      </c>
      <c r="F199" s="15" t="s">
        <v>490</v>
      </c>
      <c r="G199" s="15" t="s">
        <v>17</v>
      </c>
      <c r="H199" s="15" t="s">
        <v>183</v>
      </c>
      <c r="I199" s="15" t="s">
        <v>190</v>
      </c>
      <c r="J199" s="19">
        <v>1500000.0</v>
      </c>
      <c r="K199" s="18"/>
      <c r="L199" s="18"/>
      <c r="M199" s="26">
        <v>2.0</v>
      </c>
      <c r="N199" s="5"/>
      <c r="O199" s="5"/>
      <c r="P199" s="5"/>
      <c r="Q199" s="5"/>
      <c r="R199" s="5"/>
      <c r="S199" s="5"/>
      <c r="T199" s="5"/>
    </row>
    <row r="200">
      <c r="A200" s="11" t="s">
        <v>569</v>
      </c>
      <c r="B200" s="15" t="s">
        <v>91</v>
      </c>
      <c r="C200" s="15" t="s">
        <v>570</v>
      </c>
      <c r="D200" s="15" t="s">
        <v>116</v>
      </c>
      <c r="E200" s="15" t="s">
        <v>90</v>
      </c>
      <c r="F200" s="15" t="s">
        <v>490</v>
      </c>
      <c r="G200" s="15" t="s">
        <v>17</v>
      </c>
      <c r="H200" s="15" t="s">
        <v>183</v>
      </c>
      <c r="I200" s="15" t="s">
        <v>184</v>
      </c>
      <c r="J200" s="19">
        <v>170000.0</v>
      </c>
      <c r="K200" s="18"/>
      <c r="L200" s="18"/>
      <c r="M200" s="26">
        <v>1.0</v>
      </c>
      <c r="N200" s="5"/>
      <c r="O200" s="5"/>
      <c r="P200" s="5"/>
      <c r="Q200" s="5"/>
      <c r="R200" s="5"/>
      <c r="S200" s="5"/>
      <c r="T200" s="5"/>
    </row>
    <row r="201">
      <c r="A201" s="11" t="s">
        <v>571</v>
      </c>
      <c r="B201" s="15" t="s">
        <v>91</v>
      </c>
      <c r="C201" s="15" t="s">
        <v>572</v>
      </c>
      <c r="D201" s="15" t="s">
        <v>116</v>
      </c>
      <c r="E201" s="15" t="s">
        <v>90</v>
      </c>
      <c r="F201" s="15" t="s">
        <v>490</v>
      </c>
      <c r="G201" s="15" t="s">
        <v>17</v>
      </c>
      <c r="H201" s="15" t="s">
        <v>183</v>
      </c>
      <c r="I201" s="15" t="s">
        <v>190</v>
      </c>
      <c r="J201" s="19">
        <v>900000.0</v>
      </c>
      <c r="K201" s="18"/>
      <c r="L201" s="18"/>
      <c r="M201" s="26">
        <v>3.0</v>
      </c>
      <c r="N201" s="5"/>
      <c r="O201" s="5"/>
      <c r="P201" s="5"/>
      <c r="Q201" s="5"/>
      <c r="R201" s="5"/>
      <c r="S201" s="5"/>
      <c r="T201" s="5"/>
    </row>
    <row r="202">
      <c r="A202" s="11" t="s">
        <v>573</v>
      </c>
      <c r="B202" s="15" t="s">
        <v>91</v>
      </c>
      <c r="C202" s="15" t="s">
        <v>574</v>
      </c>
      <c r="D202" s="15" t="s">
        <v>116</v>
      </c>
      <c r="E202" s="15" t="s">
        <v>90</v>
      </c>
      <c r="F202" s="15" t="s">
        <v>490</v>
      </c>
      <c r="G202" s="15" t="s">
        <v>17</v>
      </c>
      <c r="H202" s="15" t="s">
        <v>183</v>
      </c>
      <c r="I202" s="15" t="s">
        <v>190</v>
      </c>
      <c r="J202" s="19">
        <v>0.0</v>
      </c>
      <c r="K202" s="18"/>
      <c r="L202" s="18"/>
      <c r="M202" s="26">
        <v>1.0</v>
      </c>
      <c r="N202" s="5"/>
      <c r="O202" s="5"/>
      <c r="P202" s="5"/>
      <c r="Q202" s="5"/>
      <c r="R202" s="5"/>
      <c r="S202" s="5"/>
      <c r="T202" s="5"/>
    </row>
    <row r="203">
      <c r="A203" s="11" t="s">
        <v>575</v>
      </c>
      <c r="B203" s="15" t="s">
        <v>91</v>
      </c>
      <c r="C203" s="15" t="s">
        <v>576</v>
      </c>
      <c r="D203" s="15" t="s">
        <v>116</v>
      </c>
      <c r="E203" s="15" t="s">
        <v>90</v>
      </c>
      <c r="F203" s="15" t="s">
        <v>490</v>
      </c>
      <c r="G203" s="15" t="s">
        <v>17</v>
      </c>
      <c r="H203" s="15" t="s">
        <v>183</v>
      </c>
      <c r="I203" s="15" t="s">
        <v>190</v>
      </c>
      <c r="J203" s="19">
        <v>0.0</v>
      </c>
      <c r="K203" s="15" t="s">
        <v>577</v>
      </c>
      <c r="L203" s="18"/>
      <c r="M203" s="26">
        <v>1.0</v>
      </c>
      <c r="N203" s="5"/>
      <c r="O203" s="5"/>
      <c r="P203" s="5"/>
      <c r="Q203" s="5"/>
      <c r="R203" s="5"/>
      <c r="S203" s="5"/>
      <c r="T203" s="5"/>
    </row>
    <row r="204">
      <c r="A204" s="11" t="s">
        <v>578</v>
      </c>
      <c r="B204" s="15" t="s">
        <v>91</v>
      </c>
      <c r="C204" s="15" t="s">
        <v>579</v>
      </c>
      <c r="D204" s="15" t="s">
        <v>116</v>
      </c>
      <c r="E204" s="15" t="s">
        <v>90</v>
      </c>
      <c r="F204" s="15" t="s">
        <v>490</v>
      </c>
      <c r="G204" s="15" t="s">
        <v>17</v>
      </c>
      <c r="H204" s="15" t="s">
        <v>183</v>
      </c>
      <c r="I204" s="15" t="s">
        <v>190</v>
      </c>
      <c r="J204" s="19">
        <v>804000.0</v>
      </c>
      <c r="K204" s="18"/>
      <c r="L204" s="18"/>
      <c r="M204" s="26">
        <v>6.0</v>
      </c>
      <c r="N204" s="5"/>
      <c r="O204" s="5"/>
      <c r="P204" s="5"/>
      <c r="Q204" s="5"/>
      <c r="R204" s="5"/>
      <c r="S204" s="5"/>
      <c r="T204" s="5"/>
    </row>
    <row r="205">
      <c r="A205" s="11" t="s">
        <v>580</v>
      </c>
      <c r="B205" s="15" t="s">
        <v>91</v>
      </c>
      <c r="C205" s="15" t="s">
        <v>581</v>
      </c>
      <c r="D205" s="15" t="s">
        <v>116</v>
      </c>
      <c r="E205" s="15" t="s">
        <v>90</v>
      </c>
      <c r="F205" s="15" t="s">
        <v>490</v>
      </c>
      <c r="G205" s="15" t="s">
        <v>17</v>
      </c>
      <c r="H205" s="15" t="s">
        <v>183</v>
      </c>
      <c r="I205" s="15" t="s">
        <v>190</v>
      </c>
      <c r="J205" s="19">
        <v>240000.0</v>
      </c>
      <c r="K205" s="18"/>
      <c r="L205" s="18"/>
      <c r="M205" s="26">
        <v>4.0</v>
      </c>
      <c r="N205" s="5"/>
      <c r="O205" s="5"/>
      <c r="P205" s="5"/>
      <c r="Q205" s="5"/>
      <c r="R205" s="5"/>
      <c r="S205" s="5"/>
      <c r="T205" s="5"/>
    </row>
    <row r="206">
      <c r="A206" s="11" t="s">
        <v>582</v>
      </c>
      <c r="B206" s="15" t="s">
        <v>91</v>
      </c>
      <c r="C206" s="15" t="s">
        <v>583</v>
      </c>
      <c r="D206" s="15" t="s">
        <v>116</v>
      </c>
      <c r="E206" s="15" t="s">
        <v>90</v>
      </c>
      <c r="F206" s="15" t="s">
        <v>490</v>
      </c>
      <c r="G206" s="15" t="s">
        <v>17</v>
      </c>
      <c r="H206" s="15" t="s">
        <v>183</v>
      </c>
      <c r="I206" s="15" t="s">
        <v>190</v>
      </c>
      <c r="J206" s="19">
        <v>196000.0</v>
      </c>
      <c r="K206" s="18"/>
      <c r="L206" s="18"/>
      <c r="M206" s="26">
        <v>4.0</v>
      </c>
      <c r="N206" s="5"/>
      <c r="O206" s="5"/>
      <c r="P206" s="5"/>
      <c r="Q206" s="5"/>
      <c r="R206" s="5"/>
      <c r="S206" s="5"/>
      <c r="T206" s="5"/>
    </row>
    <row r="207">
      <c r="A207" s="11" t="s">
        <v>584</v>
      </c>
      <c r="B207" s="15" t="s">
        <v>91</v>
      </c>
      <c r="C207" s="15" t="s">
        <v>585</v>
      </c>
      <c r="D207" s="15" t="s">
        <v>116</v>
      </c>
      <c r="E207" s="15" t="s">
        <v>90</v>
      </c>
      <c r="F207" s="15" t="s">
        <v>490</v>
      </c>
      <c r="G207" s="15" t="s">
        <v>17</v>
      </c>
      <c r="H207" s="15" t="s">
        <v>183</v>
      </c>
      <c r="I207" s="15" t="s">
        <v>190</v>
      </c>
      <c r="J207" s="19">
        <v>900000.0</v>
      </c>
      <c r="K207" s="18"/>
      <c r="L207" s="18"/>
      <c r="M207" s="26">
        <v>6.0</v>
      </c>
      <c r="N207" s="5"/>
      <c r="O207" s="5"/>
      <c r="P207" s="5"/>
      <c r="Q207" s="5"/>
      <c r="R207" s="5"/>
      <c r="S207" s="5"/>
      <c r="T207" s="5"/>
    </row>
    <row r="208">
      <c r="A208" s="11" t="s">
        <v>586</v>
      </c>
      <c r="B208" s="15" t="s">
        <v>91</v>
      </c>
      <c r="C208" s="15" t="s">
        <v>587</v>
      </c>
      <c r="D208" s="15" t="s">
        <v>116</v>
      </c>
      <c r="E208" s="15" t="s">
        <v>90</v>
      </c>
      <c r="F208" s="15" t="s">
        <v>490</v>
      </c>
      <c r="G208" s="15" t="s">
        <v>17</v>
      </c>
      <c r="H208" s="15" t="s">
        <v>183</v>
      </c>
      <c r="I208" s="15" t="s">
        <v>190</v>
      </c>
      <c r="J208" s="19">
        <v>180000.0</v>
      </c>
      <c r="K208" s="18"/>
      <c r="L208" s="18"/>
      <c r="M208" s="26">
        <v>6.0</v>
      </c>
      <c r="N208" s="5"/>
      <c r="O208" s="5"/>
      <c r="P208" s="5"/>
      <c r="Q208" s="5"/>
      <c r="R208" s="5"/>
      <c r="S208" s="5"/>
      <c r="T208" s="5"/>
    </row>
    <row r="209">
      <c r="A209" s="11" t="s">
        <v>588</v>
      </c>
      <c r="B209" s="15" t="s">
        <v>91</v>
      </c>
      <c r="C209" s="15" t="s">
        <v>589</v>
      </c>
      <c r="D209" s="15" t="s">
        <v>116</v>
      </c>
      <c r="E209" s="15" t="s">
        <v>90</v>
      </c>
      <c r="F209" s="15" t="s">
        <v>490</v>
      </c>
      <c r="G209" s="15" t="s">
        <v>17</v>
      </c>
      <c r="H209" s="15" t="s">
        <v>183</v>
      </c>
      <c r="I209" s="15" t="s">
        <v>190</v>
      </c>
      <c r="J209" s="19">
        <v>68000.0</v>
      </c>
      <c r="K209" s="18"/>
      <c r="L209" s="18"/>
      <c r="M209" s="26">
        <v>1.0</v>
      </c>
      <c r="N209" s="5"/>
      <c r="O209" s="5"/>
      <c r="P209" s="5"/>
      <c r="Q209" s="5"/>
      <c r="R209" s="5"/>
      <c r="S209" s="5"/>
      <c r="T209" s="5"/>
    </row>
    <row r="210">
      <c r="A210" s="11" t="s">
        <v>590</v>
      </c>
      <c r="B210" s="15" t="s">
        <v>91</v>
      </c>
      <c r="C210" s="15" t="s">
        <v>591</v>
      </c>
      <c r="D210" s="15" t="s">
        <v>116</v>
      </c>
      <c r="E210" s="15" t="s">
        <v>90</v>
      </c>
      <c r="F210" s="15" t="s">
        <v>490</v>
      </c>
      <c r="G210" s="15" t="s">
        <v>17</v>
      </c>
      <c r="H210" s="15" t="s">
        <v>183</v>
      </c>
      <c r="I210" s="15" t="s">
        <v>190</v>
      </c>
      <c r="J210" s="19">
        <v>150000.0</v>
      </c>
      <c r="K210" s="18"/>
      <c r="L210" s="18"/>
      <c r="M210" s="26">
        <v>6.0</v>
      </c>
      <c r="N210" s="5"/>
      <c r="O210" s="5"/>
      <c r="P210" s="5"/>
      <c r="Q210" s="5"/>
      <c r="R210" s="5"/>
      <c r="S210" s="5"/>
      <c r="T210" s="5"/>
    </row>
    <row r="211">
      <c r="A211" s="11" t="s">
        <v>592</v>
      </c>
      <c r="B211" s="15" t="s">
        <v>91</v>
      </c>
      <c r="C211" s="15" t="s">
        <v>593</v>
      </c>
      <c r="D211" s="15" t="s">
        <v>116</v>
      </c>
      <c r="E211" s="15" t="s">
        <v>90</v>
      </c>
      <c r="F211" s="15" t="s">
        <v>490</v>
      </c>
      <c r="G211" s="15" t="s">
        <v>17</v>
      </c>
      <c r="H211" s="15" t="s">
        <v>183</v>
      </c>
      <c r="I211" s="15" t="s">
        <v>190</v>
      </c>
      <c r="J211" s="19">
        <v>200000.0</v>
      </c>
      <c r="K211" s="18"/>
      <c r="L211" s="18"/>
      <c r="M211" s="26">
        <v>8.0</v>
      </c>
      <c r="N211" s="5"/>
      <c r="O211" s="5"/>
      <c r="P211" s="5"/>
      <c r="Q211" s="5"/>
      <c r="R211" s="5"/>
      <c r="S211" s="5"/>
      <c r="T211" s="5"/>
    </row>
    <row r="212">
      <c r="A212" s="11" t="s">
        <v>594</v>
      </c>
      <c r="B212" s="15" t="s">
        <v>91</v>
      </c>
      <c r="C212" s="15" t="s">
        <v>595</v>
      </c>
      <c r="D212" s="15" t="s">
        <v>116</v>
      </c>
      <c r="E212" s="15" t="s">
        <v>90</v>
      </c>
      <c r="F212" s="15" t="s">
        <v>490</v>
      </c>
      <c r="G212" s="15" t="s">
        <v>17</v>
      </c>
      <c r="H212" s="15" t="s">
        <v>183</v>
      </c>
      <c r="I212" s="15" t="s">
        <v>190</v>
      </c>
      <c r="J212" s="19">
        <v>3240000.0</v>
      </c>
      <c r="K212" s="18"/>
      <c r="L212" s="18"/>
      <c r="M212" s="26">
        <v>4.0</v>
      </c>
      <c r="N212" s="5"/>
      <c r="O212" s="5"/>
      <c r="P212" s="5"/>
      <c r="Q212" s="5"/>
      <c r="R212" s="5"/>
      <c r="S212" s="5"/>
      <c r="T212" s="5"/>
    </row>
    <row r="213">
      <c r="A213" s="11" t="s">
        <v>596</v>
      </c>
      <c r="B213" s="15" t="s">
        <v>91</v>
      </c>
      <c r="C213" s="15" t="s">
        <v>597</v>
      </c>
      <c r="D213" s="15" t="s">
        <v>116</v>
      </c>
      <c r="E213" s="15" t="s">
        <v>90</v>
      </c>
      <c r="F213" s="15" t="s">
        <v>490</v>
      </c>
      <c r="G213" s="15" t="s">
        <v>17</v>
      </c>
      <c r="H213" s="15" t="s">
        <v>183</v>
      </c>
      <c r="I213" s="15" t="s">
        <v>190</v>
      </c>
      <c r="J213" s="19">
        <v>170000.0</v>
      </c>
      <c r="K213" s="18"/>
      <c r="L213" s="18"/>
      <c r="M213" s="26">
        <v>2.0</v>
      </c>
      <c r="N213" s="5"/>
      <c r="O213" s="5"/>
      <c r="P213" s="5"/>
      <c r="Q213" s="5"/>
      <c r="R213" s="5"/>
      <c r="S213" s="5"/>
      <c r="T213" s="5"/>
    </row>
    <row r="214">
      <c r="A214" s="11" t="s">
        <v>598</v>
      </c>
      <c r="B214" s="15" t="s">
        <v>91</v>
      </c>
      <c r="C214" s="15" t="s">
        <v>599</v>
      </c>
      <c r="D214" s="15" t="s">
        <v>116</v>
      </c>
      <c r="E214" s="15" t="s">
        <v>90</v>
      </c>
      <c r="F214" s="15" t="s">
        <v>490</v>
      </c>
      <c r="G214" s="15" t="s">
        <v>17</v>
      </c>
      <c r="H214" s="15" t="s">
        <v>183</v>
      </c>
      <c r="I214" s="15" t="s">
        <v>190</v>
      </c>
      <c r="J214" s="19">
        <v>70000.0</v>
      </c>
      <c r="K214" s="18"/>
      <c r="L214" s="18"/>
      <c r="M214" s="26">
        <v>2.0</v>
      </c>
      <c r="N214" s="5"/>
      <c r="O214" s="5"/>
      <c r="P214" s="5"/>
      <c r="Q214" s="5"/>
      <c r="R214" s="5"/>
      <c r="S214" s="5"/>
      <c r="T214" s="5"/>
    </row>
    <row r="215">
      <c r="A215" s="11" t="s">
        <v>600</v>
      </c>
      <c r="B215" s="15" t="s">
        <v>91</v>
      </c>
      <c r="C215" s="15" t="s">
        <v>601</v>
      </c>
      <c r="D215" s="15" t="s">
        <v>116</v>
      </c>
      <c r="E215" s="15" t="s">
        <v>90</v>
      </c>
      <c r="F215" s="15" t="s">
        <v>490</v>
      </c>
      <c r="G215" s="15" t="s">
        <v>17</v>
      </c>
      <c r="H215" s="15" t="s">
        <v>183</v>
      </c>
      <c r="I215" s="15" t="s">
        <v>190</v>
      </c>
      <c r="J215" s="19">
        <v>0.0</v>
      </c>
      <c r="K215" s="18"/>
      <c r="L215" s="18"/>
      <c r="M215" s="26">
        <v>2.0</v>
      </c>
      <c r="N215" s="5"/>
      <c r="O215" s="5"/>
      <c r="P215" s="5"/>
      <c r="Q215" s="5"/>
      <c r="R215" s="5"/>
      <c r="S215" s="5"/>
      <c r="T215" s="5"/>
    </row>
    <row r="216">
      <c r="A216" s="11" t="s">
        <v>602</v>
      </c>
      <c r="B216" s="15" t="s">
        <v>91</v>
      </c>
      <c r="C216" s="15" t="s">
        <v>603</v>
      </c>
      <c r="D216" s="15" t="s">
        <v>116</v>
      </c>
      <c r="E216" s="15" t="s">
        <v>90</v>
      </c>
      <c r="F216" s="15" t="s">
        <v>490</v>
      </c>
      <c r="G216" s="15" t="s">
        <v>17</v>
      </c>
      <c r="H216" s="15" t="s">
        <v>183</v>
      </c>
      <c r="I216" s="15" t="s">
        <v>190</v>
      </c>
      <c r="J216" s="19">
        <v>0.0</v>
      </c>
      <c r="K216" s="18"/>
      <c r="L216" s="18"/>
      <c r="M216" s="26">
        <v>2.0</v>
      </c>
      <c r="N216" s="5"/>
      <c r="O216" s="5"/>
      <c r="P216" s="5"/>
      <c r="Q216" s="5"/>
      <c r="R216" s="5"/>
      <c r="S216" s="5"/>
      <c r="T216" s="5"/>
    </row>
    <row r="217">
      <c r="A217" s="11" t="s">
        <v>604</v>
      </c>
      <c r="B217" s="15" t="s">
        <v>91</v>
      </c>
      <c r="C217" s="15" t="s">
        <v>605</v>
      </c>
      <c r="D217" s="15" t="s">
        <v>116</v>
      </c>
      <c r="E217" s="15" t="s">
        <v>90</v>
      </c>
      <c r="F217" s="15" t="s">
        <v>490</v>
      </c>
      <c r="G217" s="15" t="s">
        <v>17</v>
      </c>
      <c r="H217" s="15" t="s">
        <v>183</v>
      </c>
      <c r="I217" s="15" t="s">
        <v>190</v>
      </c>
      <c r="J217" s="19">
        <v>210000.0</v>
      </c>
      <c r="K217" s="18"/>
      <c r="L217" s="18"/>
      <c r="M217" s="26">
        <v>3.0</v>
      </c>
      <c r="N217" s="5"/>
      <c r="O217" s="5"/>
      <c r="P217" s="5"/>
      <c r="Q217" s="5"/>
      <c r="R217" s="5"/>
      <c r="S217" s="5"/>
      <c r="T217" s="5"/>
    </row>
    <row r="218">
      <c r="A218" s="11" t="s">
        <v>606</v>
      </c>
      <c r="B218" s="15" t="s">
        <v>91</v>
      </c>
      <c r="C218" s="15" t="s">
        <v>607</v>
      </c>
      <c r="D218" s="15" t="s">
        <v>116</v>
      </c>
      <c r="E218" s="15" t="s">
        <v>90</v>
      </c>
      <c r="F218" s="15" t="s">
        <v>490</v>
      </c>
      <c r="G218" s="15" t="s">
        <v>17</v>
      </c>
      <c r="H218" s="15" t="s">
        <v>183</v>
      </c>
      <c r="I218" s="15" t="s">
        <v>190</v>
      </c>
      <c r="J218" s="19">
        <v>250000.0</v>
      </c>
      <c r="K218" s="18"/>
      <c r="L218" s="18"/>
      <c r="M218" s="26">
        <v>10.0</v>
      </c>
      <c r="N218" s="5"/>
      <c r="O218" s="5"/>
      <c r="P218" s="5"/>
      <c r="Q218" s="5"/>
      <c r="R218" s="5"/>
      <c r="S218" s="5"/>
      <c r="T218" s="5"/>
    </row>
    <row r="219">
      <c r="A219" s="11" t="s">
        <v>608</v>
      </c>
      <c r="B219" s="15" t="s">
        <v>91</v>
      </c>
      <c r="C219" s="15" t="s">
        <v>609</v>
      </c>
      <c r="D219" s="15" t="s">
        <v>116</v>
      </c>
      <c r="E219" s="15" t="s">
        <v>90</v>
      </c>
      <c r="F219" s="15" t="s">
        <v>490</v>
      </c>
      <c r="G219" s="15" t="s">
        <v>17</v>
      </c>
      <c r="H219" s="15" t="s">
        <v>183</v>
      </c>
      <c r="I219" s="15" t="s">
        <v>190</v>
      </c>
      <c r="J219" s="19">
        <v>50000.0</v>
      </c>
      <c r="K219" s="18"/>
      <c r="L219" s="18"/>
      <c r="M219" s="26">
        <v>20.0</v>
      </c>
      <c r="N219" s="5"/>
      <c r="O219" s="5"/>
      <c r="P219" s="5"/>
      <c r="Q219" s="5"/>
      <c r="R219" s="5"/>
      <c r="S219" s="5"/>
      <c r="T219" s="5"/>
    </row>
    <row r="220">
      <c r="A220" s="11" t="s">
        <v>610</v>
      </c>
      <c r="B220" s="15" t="s">
        <v>91</v>
      </c>
      <c r="C220" s="15" t="s">
        <v>275</v>
      </c>
      <c r="D220" s="15" t="s">
        <v>116</v>
      </c>
      <c r="E220" s="15" t="s">
        <v>90</v>
      </c>
      <c r="F220" s="15" t="s">
        <v>490</v>
      </c>
      <c r="G220" s="15" t="s">
        <v>17</v>
      </c>
      <c r="H220" s="15" t="s">
        <v>183</v>
      </c>
      <c r="I220" s="15" t="s">
        <v>190</v>
      </c>
      <c r="J220" s="19">
        <v>1780000.0</v>
      </c>
      <c r="K220" s="18"/>
      <c r="L220" s="18"/>
      <c r="M220" s="26">
        <v>1.0</v>
      </c>
      <c r="N220" s="5"/>
      <c r="O220" s="5"/>
      <c r="P220" s="5"/>
      <c r="Q220" s="5"/>
      <c r="R220" s="5"/>
      <c r="S220" s="5"/>
      <c r="T220" s="5"/>
    </row>
    <row r="221">
      <c r="A221" s="11" t="s">
        <v>611</v>
      </c>
      <c r="B221" s="15" t="s">
        <v>91</v>
      </c>
      <c r="C221" s="15" t="s">
        <v>612</v>
      </c>
      <c r="D221" s="15" t="s">
        <v>116</v>
      </c>
      <c r="E221" s="15" t="s">
        <v>90</v>
      </c>
      <c r="F221" s="15" t="s">
        <v>490</v>
      </c>
      <c r="G221" s="15" t="s">
        <v>17</v>
      </c>
      <c r="H221" s="15" t="s">
        <v>183</v>
      </c>
      <c r="I221" s="15" t="s">
        <v>190</v>
      </c>
      <c r="J221" s="19">
        <v>700000.0</v>
      </c>
      <c r="K221" s="18"/>
      <c r="L221" s="18"/>
      <c r="M221" s="26">
        <v>10.0</v>
      </c>
      <c r="N221" s="5"/>
      <c r="O221" s="5"/>
      <c r="P221" s="5"/>
      <c r="Q221" s="5"/>
      <c r="R221" s="5"/>
      <c r="S221" s="5"/>
      <c r="T221" s="5"/>
    </row>
    <row r="222">
      <c r="A222" s="11" t="s">
        <v>613</v>
      </c>
      <c r="B222" s="15" t="s">
        <v>91</v>
      </c>
      <c r="C222" s="15" t="s">
        <v>614</v>
      </c>
      <c r="D222" s="15" t="s">
        <v>116</v>
      </c>
      <c r="E222" s="15" t="s">
        <v>90</v>
      </c>
      <c r="F222" s="15" t="s">
        <v>490</v>
      </c>
      <c r="G222" s="15" t="s">
        <v>17</v>
      </c>
      <c r="H222" s="15" t="s">
        <v>183</v>
      </c>
      <c r="I222" s="15" t="s">
        <v>190</v>
      </c>
      <c r="J222" s="19">
        <v>2500000.0</v>
      </c>
      <c r="K222" s="18"/>
      <c r="L222" s="18"/>
      <c r="M222" s="26">
        <v>1.0</v>
      </c>
      <c r="N222" s="5"/>
      <c r="O222" s="5"/>
      <c r="P222" s="5"/>
      <c r="Q222" s="5"/>
      <c r="R222" s="5"/>
      <c r="S222" s="5"/>
      <c r="T222" s="5"/>
    </row>
    <row r="223">
      <c r="A223" s="11" t="s">
        <v>615</v>
      </c>
      <c r="B223" s="15" t="s">
        <v>91</v>
      </c>
      <c r="C223" s="15" t="s">
        <v>616</v>
      </c>
      <c r="D223" s="15" t="s">
        <v>116</v>
      </c>
      <c r="E223" s="15" t="s">
        <v>90</v>
      </c>
      <c r="F223" s="15" t="s">
        <v>490</v>
      </c>
      <c r="G223" s="15" t="s">
        <v>17</v>
      </c>
      <c r="H223" s="15" t="s">
        <v>183</v>
      </c>
      <c r="I223" s="15" t="s">
        <v>190</v>
      </c>
      <c r="J223" s="19">
        <v>1200000.0</v>
      </c>
      <c r="K223" s="18"/>
      <c r="L223" s="18"/>
      <c r="M223" s="26">
        <v>3.0</v>
      </c>
      <c r="N223" s="5"/>
      <c r="O223" s="5"/>
      <c r="P223" s="5"/>
      <c r="Q223" s="5"/>
      <c r="R223" s="5"/>
      <c r="S223" s="5"/>
      <c r="T223" s="5"/>
    </row>
    <row r="224">
      <c r="A224" s="11" t="s">
        <v>617</v>
      </c>
      <c r="B224" s="15" t="s">
        <v>91</v>
      </c>
      <c r="C224" s="15" t="s">
        <v>618</v>
      </c>
      <c r="D224" s="15" t="s">
        <v>116</v>
      </c>
      <c r="E224" s="15" t="s">
        <v>90</v>
      </c>
      <c r="F224" s="15" t="s">
        <v>490</v>
      </c>
      <c r="G224" s="15" t="s">
        <v>17</v>
      </c>
      <c r="H224" s="15" t="s">
        <v>183</v>
      </c>
      <c r="I224" s="15" t="s">
        <v>190</v>
      </c>
      <c r="J224" s="19">
        <v>252000.0</v>
      </c>
      <c r="K224" s="18"/>
      <c r="L224" s="18"/>
      <c r="M224" s="26">
        <v>2.0</v>
      </c>
      <c r="N224" s="5"/>
      <c r="O224" s="5"/>
      <c r="P224" s="5"/>
      <c r="Q224" s="5"/>
      <c r="R224" s="5"/>
      <c r="S224" s="5"/>
      <c r="T224" s="5"/>
    </row>
    <row r="225">
      <c r="A225" s="11" t="s">
        <v>619</v>
      </c>
      <c r="B225" s="15" t="s">
        <v>91</v>
      </c>
      <c r="C225" s="15" t="s">
        <v>620</v>
      </c>
      <c r="D225" s="15" t="s">
        <v>116</v>
      </c>
      <c r="E225" s="15" t="s">
        <v>90</v>
      </c>
      <c r="F225" s="15" t="s">
        <v>490</v>
      </c>
      <c r="G225" s="15" t="s">
        <v>17</v>
      </c>
      <c r="H225" s="15" t="s">
        <v>183</v>
      </c>
      <c r="I225" s="15" t="s">
        <v>190</v>
      </c>
      <c r="J225" s="19">
        <v>126000.0</v>
      </c>
      <c r="K225" s="18"/>
      <c r="L225" s="18"/>
      <c r="M225" s="26">
        <v>1.0</v>
      </c>
      <c r="N225" s="5"/>
      <c r="O225" s="5"/>
      <c r="P225" s="5"/>
      <c r="Q225" s="5"/>
      <c r="R225" s="5"/>
      <c r="S225" s="5"/>
      <c r="T225" s="5"/>
    </row>
    <row r="226">
      <c r="A226" s="11" t="s">
        <v>621</v>
      </c>
      <c r="B226" s="15" t="s">
        <v>91</v>
      </c>
      <c r="C226" s="15" t="s">
        <v>622</v>
      </c>
      <c r="D226" s="15" t="s">
        <v>116</v>
      </c>
      <c r="E226" s="15" t="s">
        <v>90</v>
      </c>
      <c r="F226" s="15" t="s">
        <v>490</v>
      </c>
      <c r="G226" s="15" t="s">
        <v>17</v>
      </c>
      <c r="H226" s="15" t="s">
        <v>183</v>
      </c>
      <c r="I226" s="15" t="s">
        <v>190</v>
      </c>
      <c r="J226" s="19">
        <v>1589500.0</v>
      </c>
      <c r="K226" s="15" t="s">
        <v>623</v>
      </c>
      <c r="L226" s="18"/>
      <c r="M226" s="26">
        <v>1.0</v>
      </c>
      <c r="N226" s="5"/>
      <c r="O226" s="5"/>
      <c r="P226" s="5"/>
      <c r="Q226" s="5"/>
      <c r="R226" s="5"/>
      <c r="S226" s="5"/>
      <c r="T226" s="5"/>
    </row>
    <row r="227">
      <c r="A227" s="11" t="s">
        <v>624</v>
      </c>
      <c r="B227" s="15" t="s">
        <v>91</v>
      </c>
      <c r="C227" s="15" t="s">
        <v>625</v>
      </c>
      <c r="D227" s="15" t="s">
        <v>116</v>
      </c>
      <c r="E227" s="15" t="s">
        <v>90</v>
      </c>
      <c r="F227" s="15" t="s">
        <v>490</v>
      </c>
      <c r="G227" s="15" t="s">
        <v>17</v>
      </c>
      <c r="H227" s="15" t="s">
        <v>183</v>
      </c>
      <c r="I227" s="15" t="s">
        <v>184</v>
      </c>
      <c r="J227" s="19">
        <v>525000.0</v>
      </c>
      <c r="K227" s="15" t="s">
        <v>623</v>
      </c>
      <c r="L227" s="18"/>
      <c r="M227" s="26">
        <v>1.0</v>
      </c>
      <c r="N227" s="5"/>
      <c r="O227" s="5"/>
      <c r="P227" s="5"/>
      <c r="Q227" s="5"/>
      <c r="R227" s="5"/>
      <c r="S227" s="5"/>
      <c r="T227" s="5"/>
    </row>
    <row r="228">
      <c r="A228" s="11" t="s">
        <v>626</v>
      </c>
      <c r="B228" s="15" t="s">
        <v>91</v>
      </c>
      <c r="C228" s="15" t="s">
        <v>627</v>
      </c>
      <c r="D228" s="15" t="s">
        <v>116</v>
      </c>
      <c r="E228" s="15" t="s">
        <v>90</v>
      </c>
      <c r="F228" s="15" t="s">
        <v>490</v>
      </c>
      <c r="G228" s="15" t="s">
        <v>17</v>
      </c>
      <c r="H228" s="15" t="s">
        <v>183</v>
      </c>
      <c r="I228" s="15" t="s">
        <v>190</v>
      </c>
      <c r="J228" s="19">
        <v>500000.0</v>
      </c>
      <c r="K228" s="18"/>
      <c r="L228" s="18"/>
      <c r="M228" s="26">
        <v>1.0</v>
      </c>
      <c r="N228" s="5"/>
      <c r="O228" s="5"/>
      <c r="P228" s="5"/>
      <c r="Q228" s="5"/>
      <c r="R228" s="5"/>
      <c r="S228" s="5"/>
      <c r="T228" s="5"/>
    </row>
    <row r="229">
      <c r="A229" s="11" t="s">
        <v>628</v>
      </c>
      <c r="B229" s="15" t="s">
        <v>91</v>
      </c>
      <c r="C229" s="15" t="s">
        <v>629</v>
      </c>
      <c r="D229" s="15" t="s">
        <v>116</v>
      </c>
      <c r="E229" s="15" t="s">
        <v>90</v>
      </c>
      <c r="F229" s="15" t="s">
        <v>490</v>
      </c>
      <c r="G229" s="15" t="s">
        <v>17</v>
      </c>
      <c r="H229" s="15" t="s">
        <v>183</v>
      </c>
      <c r="I229" s="15" t="s">
        <v>190</v>
      </c>
      <c r="J229" s="19">
        <v>500000.0</v>
      </c>
      <c r="K229" s="18"/>
      <c r="L229" s="18"/>
      <c r="M229" s="26">
        <v>1.0</v>
      </c>
      <c r="N229" s="5"/>
      <c r="O229" s="5"/>
      <c r="P229" s="5"/>
      <c r="Q229" s="5"/>
      <c r="R229" s="5"/>
      <c r="S229" s="5"/>
      <c r="T229" s="5"/>
    </row>
    <row r="230">
      <c r="A230" s="11" t="s">
        <v>630</v>
      </c>
      <c r="B230" s="15" t="s">
        <v>91</v>
      </c>
      <c r="C230" s="15" t="s">
        <v>631</v>
      </c>
      <c r="D230" s="15" t="s">
        <v>116</v>
      </c>
      <c r="E230" s="15" t="s">
        <v>90</v>
      </c>
      <c r="F230" s="15" t="s">
        <v>490</v>
      </c>
      <c r="G230" s="15" t="s">
        <v>17</v>
      </c>
      <c r="H230" s="15" t="s">
        <v>183</v>
      </c>
      <c r="I230" s="15" t="s">
        <v>190</v>
      </c>
      <c r="J230" s="19">
        <v>500000.0</v>
      </c>
      <c r="K230" s="18"/>
      <c r="L230" s="18"/>
      <c r="M230" s="26">
        <v>1.0</v>
      </c>
      <c r="N230" s="5"/>
      <c r="O230" s="5"/>
      <c r="P230" s="5"/>
      <c r="Q230" s="5"/>
      <c r="R230" s="5"/>
      <c r="S230" s="5"/>
      <c r="T230" s="5"/>
    </row>
    <row r="231">
      <c r="A231" s="11" t="s">
        <v>632</v>
      </c>
      <c r="B231" s="15" t="s">
        <v>91</v>
      </c>
      <c r="C231" s="15" t="s">
        <v>633</v>
      </c>
      <c r="D231" s="15" t="s">
        <v>116</v>
      </c>
      <c r="E231" s="15" t="s">
        <v>90</v>
      </c>
      <c r="F231" s="15" t="s">
        <v>490</v>
      </c>
      <c r="G231" s="15" t="s">
        <v>17</v>
      </c>
      <c r="H231" s="15" t="s">
        <v>183</v>
      </c>
      <c r="I231" s="15" t="s">
        <v>194</v>
      </c>
      <c r="J231" s="19">
        <v>1.2E7</v>
      </c>
      <c r="K231" s="18"/>
      <c r="L231" s="18"/>
      <c r="M231" s="26">
        <v>1.0</v>
      </c>
      <c r="N231" s="5"/>
      <c r="O231" s="5"/>
      <c r="P231" s="5"/>
      <c r="Q231" s="5"/>
      <c r="R231" s="5"/>
      <c r="S231" s="5"/>
      <c r="T231" s="5"/>
    </row>
    <row r="232">
      <c r="A232" s="11" t="s">
        <v>634</v>
      </c>
      <c r="B232" s="15" t="s">
        <v>91</v>
      </c>
      <c r="C232" s="15" t="s">
        <v>635</v>
      </c>
      <c r="D232" s="15" t="s">
        <v>116</v>
      </c>
      <c r="E232" s="15" t="s">
        <v>90</v>
      </c>
      <c r="F232" s="15" t="s">
        <v>490</v>
      </c>
      <c r="G232" s="15" t="s">
        <v>17</v>
      </c>
      <c r="H232" s="15" t="s">
        <v>183</v>
      </c>
      <c r="I232" s="15" t="s">
        <v>190</v>
      </c>
      <c r="J232" s="19">
        <v>2000000.0</v>
      </c>
      <c r="K232" s="18"/>
      <c r="L232" s="18"/>
      <c r="M232" s="26">
        <v>10.0</v>
      </c>
      <c r="N232" s="5"/>
      <c r="O232" s="5"/>
      <c r="P232" s="5"/>
      <c r="Q232" s="5"/>
      <c r="R232" s="5"/>
      <c r="S232" s="5"/>
      <c r="T232" s="5"/>
    </row>
    <row r="233">
      <c r="A233" s="11" t="s">
        <v>636</v>
      </c>
      <c r="B233" s="15" t="s">
        <v>91</v>
      </c>
      <c r="C233" s="15" t="s">
        <v>637</v>
      </c>
      <c r="D233" s="15" t="s">
        <v>116</v>
      </c>
      <c r="E233" s="15" t="s">
        <v>90</v>
      </c>
      <c r="F233" s="15" t="s">
        <v>490</v>
      </c>
      <c r="G233" s="15" t="s">
        <v>17</v>
      </c>
      <c r="H233" s="15" t="s">
        <v>183</v>
      </c>
      <c r="I233" s="15" t="s">
        <v>194</v>
      </c>
      <c r="J233" s="19">
        <v>0.0</v>
      </c>
      <c r="K233" s="18"/>
      <c r="L233" s="18"/>
      <c r="M233" s="20"/>
      <c r="N233" s="5"/>
      <c r="O233" s="5"/>
      <c r="P233" s="5"/>
      <c r="Q233" s="5"/>
      <c r="R233" s="5"/>
      <c r="S233" s="5"/>
      <c r="T233" s="5"/>
    </row>
    <row r="234">
      <c r="A234" s="11" t="s">
        <v>638</v>
      </c>
      <c r="B234" s="15" t="s">
        <v>91</v>
      </c>
      <c r="C234" s="15" t="s">
        <v>639</v>
      </c>
      <c r="D234" s="15" t="s">
        <v>116</v>
      </c>
      <c r="E234" s="15" t="s">
        <v>90</v>
      </c>
      <c r="F234" s="15" t="s">
        <v>490</v>
      </c>
      <c r="G234" s="15" t="s">
        <v>17</v>
      </c>
      <c r="H234" s="15" t="s">
        <v>183</v>
      </c>
      <c r="I234" s="15" t="s">
        <v>190</v>
      </c>
      <c r="J234" s="19">
        <v>4500000.0</v>
      </c>
      <c r="K234" s="18"/>
      <c r="L234" s="18"/>
      <c r="M234" s="26">
        <v>1.0</v>
      </c>
      <c r="N234" s="5"/>
      <c r="O234" s="5"/>
      <c r="P234" s="5"/>
      <c r="Q234" s="5"/>
      <c r="R234" s="5"/>
      <c r="S234" s="5"/>
      <c r="T234" s="5"/>
    </row>
    <row r="235">
      <c r="A235" s="11" t="s">
        <v>640</v>
      </c>
      <c r="B235" s="15" t="s">
        <v>91</v>
      </c>
      <c r="C235" s="15" t="s">
        <v>641</v>
      </c>
      <c r="D235" s="15" t="s">
        <v>116</v>
      </c>
      <c r="E235" s="15" t="s">
        <v>90</v>
      </c>
      <c r="F235" s="15" t="s">
        <v>490</v>
      </c>
      <c r="G235" s="15" t="s">
        <v>17</v>
      </c>
      <c r="H235" s="15" t="s">
        <v>183</v>
      </c>
      <c r="I235" s="15" t="s">
        <v>194</v>
      </c>
      <c r="J235" s="19">
        <v>1500000.0</v>
      </c>
      <c r="K235" s="18"/>
      <c r="L235" s="18"/>
      <c r="M235" s="26">
        <v>1.0</v>
      </c>
      <c r="N235" s="5"/>
      <c r="O235" s="5"/>
      <c r="P235" s="5"/>
      <c r="Q235" s="5"/>
      <c r="R235" s="5"/>
      <c r="S235" s="5"/>
      <c r="T235" s="5"/>
    </row>
    <row r="236">
      <c r="A236" s="11" t="s">
        <v>642</v>
      </c>
      <c r="B236" s="15" t="s">
        <v>91</v>
      </c>
      <c r="C236" s="15" t="s">
        <v>643</v>
      </c>
      <c r="D236" s="15" t="s">
        <v>116</v>
      </c>
      <c r="E236" s="15" t="s">
        <v>90</v>
      </c>
      <c r="F236" s="15" t="s">
        <v>490</v>
      </c>
      <c r="G236" s="15" t="s">
        <v>17</v>
      </c>
      <c r="H236" s="15" t="s">
        <v>183</v>
      </c>
      <c r="I236" s="15" t="s">
        <v>194</v>
      </c>
      <c r="J236" s="19">
        <v>500000.0</v>
      </c>
      <c r="K236" s="18"/>
      <c r="L236" s="18"/>
      <c r="M236" s="26">
        <v>1.0</v>
      </c>
      <c r="N236" s="5"/>
      <c r="O236" s="5"/>
      <c r="P236" s="5"/>
      <c r="Q236" s="5"/>
      <c r="R236" s="5"/>
      <c r="S236" s="5"/>
      <c r="T236" s="5"/>
    </row>
    <row r="237">
      <c r="A237" s="11" t="s">
        <v>644</v>
      </c>
      <c r="B237" s="15" t="s">
        <v>91</v>
      </c>
      <c r="C237" s="15" t="s">
        <v>645</v>
      </c>
      <c r="D237" s="15" t="s">
        <v>116</v>
      </c>
      <c r="E237" s="15" t="s">
        <v>90</v>
      </c>
      <c r="F237" s="15" t="s">
        <v>490</v>
      </c>
      <c r="G237" s="15" t="s">
        <v>17</v>
      </c>
      <c r="H237" s="15" t="s">
        <v>183</v>
      </c>
      <c r="I237" s="15" t="s">
        <v>190</v>
      </c>
      <c r="J237" s="19">
        <v>1500000.0</v>
      </c>
      <c r="K237" s="18"/>
      <c r="L237" s="18"/>
      <c r="M237" s="26">
        <v>1.0</v>
      </c>
      <c r="N237" s="5"/>
      <c r="O237" s="5"/>
      <c r="P237" s="5"/>
      <c r="Q237" s="5"/>
      <c r="R237" s="5"/>
      <c r="S237" s="5"/>
      <c r="T237" s="5"/>
    </row>
    <row r="238">
      <c r="A238" s="11" t="s">
        <v>646</v>
      </c>
      <c r="B238" s="15" t="s">
        <v>91</v>
      </c>
      <c r="C238" s="15" t="s">
        <v>647</v>
      </c>
      <c r="D238" s="15" t="s">
        <v>116</v>
      </c>
      <c r="E238" s="15" t="s">
        <v>90</v>
      </c>
      <c r="F238" s="15" t="s">
        <v>490</v>
      </c>
      <c r="G238" s="15" t="s">
        <v>17</v>
      </c>
      <c r="H238" s="15" t="s">
        <v>183</v>
      </c>
      <c r="I238" s="15" t="s">
        <v>190</v>
      </c>
      <c r="J238" s="19">
        <v>0.0</v>
      </c>
      <c r="K238" s="18"/>
      <c r="L238" s="18"/>
      <c r="M238" s="20"/>
      <c r="N238" s="5"/>
      <c r="O238" s="5"/>
      <c r="P238" s="5"/>
      <c r="Q238" s="5"/>
      <c r="R238" s="5"/>
      <c r="S238" s="5"/>
      <c r="T238" s="5"/>
    </row>
    <row r="239">
      <c r="A239" s="11" t="s">
        <v>648</v>
      </c>
      <c r="B239" s="15" t="s">
        <v>91</v>
      </c>
      <c r="C239" s="15" t="s">
        <v>649</v>
      </c>
      <c r="D239" s="15" t="s">
        <v>116</v>
      </c>
      <c r="E239" s="15" t="s">
        <v>90</v>
      </c>
      <c r="F239" s="15" t="s">
        <v>490</v>
      </c>
      <c r="G239" s="15" t="s">
        <v>17</v>
      </c>
      <c r="H239" s="15" t="s">
        <v>183</v>
      </c>
      <c r="I239" s="15" t="s">
        <v>190</v>
      </c>
      <c r="J239" s="19">
        <v>2000000.0</v>
      </c>
      <c r="K239" s="18"/>
      <c r="L239" s="18"/>
      <c r="M239" s="26">
        <v>2.0</v>
      </c>
      <c r="N239" s="5"/>
      <c r="O239" s="5"/>
      <c r="P239" s="5"/>
      <c r="Q239" s="5"/>
      <c r="R239" s="5"/>
      <c r="S239" s="5"/>
      <c r="T239" s="5"/>
    </row>
    <row r="240">
      <c r="A240" s="11" t="s">
        <v>650</v>
      </c>
      <c r="B240" s="15" t="s">
        <v>91</v>
      </c>
      <c r="C240" s="15" t="s">
        <v>651</v>
      </c>
      <c r="D240" s="15" t="s">
        <v>116</v>
      </c>
      <c r="E240" s="15" t="s">
        <v>90</v>
      </c>
      <c r="F240" s="15" t="s">
        <v>490</v>
      </c>
      <c r="G240" s="15" t="s">
        <v>17</v>
      </c>
      <c r="H240" s="15" t="s">
        <v>183</v>
      </c>
      <c r="I240" s="15" t="s">
        <v>190</v>
      </c>
      <c r="J240" s="19">
        <v>500000.0</v>
      </c>
      <c r="K240" s="18"/>
      <c r="L240" s="18"/>
      <c r="M240" s="26">
        <v>1.0</v>
      </c>
      <c r="N240" s="5"/>
      <c r="O240" s="5"/>
      <c r="P240" s="5"/>
      <c r="Q240" s="5"/>
      <c r="R240" s="5"/>
      <c r="S240" s="5"/>
      <c r="T240" s="5"/>
    </row>
    <row r="241">
      <c r="A241" s="11" t="s">
        <v>652</v>
      </c>
      <c r="B241" s="15" t="s">
        <v>91</v>
      </c>
      <c r="C241" s="15" t="s">
        <v>653</v>
      </c>
      <c r="D241" s="15" t="s">
        <v>116</v>
      </c>
      <c r="E241" s="15" t="s">
        <v>90</v>
      </c>
      <c r="F241" s="15" t="s">
        <v>490</v>
      </c>
      <c r="G241" s="15" t="s">
        <v>17</v>
      </c>
      <c r="H241" s="15" t="s">
        <v>183</v>
      </c>
      <c r="I241" s="15" t="s">
        <v>194</v>
      </c>
      <c r="J241" s="19">
        <v>2500000.0</v>
      </c>
      <c r="K241" s="18"/>
      <c r="L241" s="18"/>
      <c r="M241" s="26">
        <v>1.0</v>
      </c>
      <c r="N241" s="5"/>
      <c r="O241" s="5"/>
      <c r="P241" s="5"/>
      <c r="Q241" s="5"/>
      <c r="R241" s="5"/>
      <c r="S241" s="5"/>
      <c r="T241" s="5"/>
    </row>
    <row r="242">
      <c r="A242" s="11" t="s">
        <v>654</v>
      </c>
      <c r="B242" s="15" t="s">
        <v>91</v>
      </c>
      <c r="C242" s="15" t="s">
        <v>655</v>
      </c>
      <c r="D242" s="15" t="s">
        <v>116</v>
      </c>
      <c r="E242" s="15" t="s">
        <v>90</v>
      </c>
      <c r="F242" s="15" t="s">
        <v>490</v>
      </c>
      <c r="G242" s="15" t="s">
        <v>17</v>
      </c>
      <c r="H242" s="15" t="s">
        <v>183</v>
      </c>
      <c r="I242" s="15" t="s">
        <v>190</v>
      </c>
      <c r="J242" s="19">
        <v>3000000.0</v>
      </c>
      <c r="K242" s="18"/>
      <c r="L242" s="18"/>
      <c r="M242" s="26">
        <v>2.0</v>
      </c>
      <c r="N242" s="5"/>
      <c r="O242" s="5"/>
      <c r="P242" s="5"/>
      <c r="Q242" s="5"/>
      <c r="R242" s="5"/>
      <c r="S242" s="5"/>
      <c r="T242" s="5"/>
    </row>
    <row r="243">
      <c r="A243" s="11" t="s">
        <v>656</v>
      </c>
      <c r="B243" s="15" t="s">
        <v>91</v>
      </c>
      <c r="C243" s="15" t="s">
        <v>657</v>
      </c>
      <c r="D243" s="15" t="s">
        <v>116</v>
      </c>
      <c r="E243" s="15" t="s">
        <v>90</v>
      </c>
      <c r="F243" s="15" t="s">
        <v>490</v>
      </c>
      <c r="G243" s="15" t="s">
        <v>17</v>
      </c>
      <c r="H243" s="15" t="s">
        <v>183</v>
      </c>
      <c r="I243" s="15" t="s">
        <v>194</v>
      </c>
      <c r="J243" s="19">
        <v>1.0E7</v>
      </c>
      <c r="K243" s="15" t="s">
        <v>658</v>
      </c>
      <c r="L243" s="18"/>
      <c r="M243" s="26">
        <v>1.0</v>
      </c>
      <c r="N243" s="5"/>
      <c r="O243" s="5"/>
      <c r="P243" s="5"/>
      <c r="Q243" s="5"/>
      <c r="R243" s="5"/>
      <c r="S243" s="5"/>
      <c r="T243" s="5"/>
    </row>
    <row r="244">
      <c r="A244" s="11" t="s">
        <v>659</v>
      </c>
      <c r="B244" s="15" t="s">
        <v>91</v>
      </c>
      <c r="C244" s="15" t="s">
        <v>660</v>
      </c>
      <c r="D244" s="15" t="s">
        <v>116</v>
      </c>
      <c r="E244" s="15" t="s">
        <v>90</v>
      </c>
      <c r="F244" s="15" t="s">
        <v>490</v>
      </c>
      <c r="G244" s="15" t="s">
        <v>17</v>
      </c>
      <c r="H244" s="15" t="s">
        <v>183</v>
      </c>
      <c r="I244" s="15" t="s">
        <v>190</v>
      </c>
      <c r="J244" s="19">
        <v>450000.0</v>
      </c>
      <c r="K244" s="18"/>
      <c r="L244" s="18"/>
      <c r="M244" s="26">
        <v>1.0</v>
      </c>
      <c r="N244" s="5"/>
      <c r="O244" s="5"/>
      <c r="P244" s="5"/>
      <c r="Q244" s="5"/>
      <c r="R244" s="5"/>
      <c r="S244" s="5"/>
      <c r="T244" s="5"/>
    </row>
    <row r="245">
      <c r="A245" s="11" t="s">
        <v>661</v>
      </c>
      <c r="B245" s="15" t="s">
        <v>91</v>
      </c>
      <c r="C245" s="15" t="s">
        <v>662</v>
      </c>
      <c r="D245" s="15" t="s">
        <v>116</v>
      </c>
      <c r="E245" s="15" t="s">
        <v>90</v>
      </c>
      <c r="F245" s="15" t="s">
        <v>490</v>
      </c>
      <c r="G245" s="15" t="s">
        <v>17</v>
      </c>
      <c r="H245" s="15" t="s">
        <v>183</v>
      </c>
      <c r="I245" s="15" t="s">
        <v>190</v>
      </c>
      <c r="J245" s="19">
        <v>0.0</v>
      </c>
      <c r="K245" s="15" t="s">
        <v>663</v>
      </c>
      <c r="L245" s="18"/>
      <c r="M245" s="26">
        <v>2.0</v>
      </c>
      <c r="N245" s="5"/>
      <c r="O245" s="5"/>
      <c r="P245" s="5"/>
      <c r="Q245" s="5"/>
      <c r="R245" s="5"/>
      <c r="S245" s="5"/>
      <c r="T245" s="5"/>
    </row>
    <row r="246">
      <c r="A246" s="4" t="s">
        <v>664</v>
      </c>
      <c r="B246" s="4" t="s">
        <v>91</v>
      </c>
      <c r="C246" s="4" t="s">
        <v>665</v>
      </c>
      <c r="D246" s="4" t="s">
        <v>116</v>
      </c>
      <c r="E246" s="4" t="s">
        <v>90</v>
      </c>
      <c r="F246" s="4" t="s">
        <v>666</v>
      </c>
      <c r="G246" s="4" t="s">
        <v>23</v>
      </c>
      <c r="H246" s="4" t="s">
        <v>183</v>
      </c>
      <c r="I246" s="4" t="s">
        <v>194</v>
      </c>
      <c r="J246" s="27">
        <v>7500000.0</v>
      </c>
      <c r="K246" s="5"/>
      <c r="L246" s="4" t="s">
        <v>89</v>
      </c>
      <c r="M246" s="28"/>
      <c r="N246" s="5"/>
      <c r="O246" s="5"/>
      <c r="P246" s="5"/>
      <c r="Q246" s="5"/>
      <c r="R246" s="5"/>
      <c r="S246" s="5"/>
      <c r="T246" s="5"/>
    </row>
    <row r="247">
      <c r="A247" s="4" t="s">
        <v>667</v>
      </c>
      <c r="B247" s="4" t="s">
        <v>84</v>
      </c>
      <c r="C247" s="4" t="s">
        <v>668</v>
      </c>
      <c r="D247" s="4" t="s">
        <v>116</v>
      </c>
      <c r="E247" s="4" t="s">
        <v>83</v>
      </c>
      <c r="F247" s="4" t="s">
        <v>127</v>
      </c>
      <c r="G247" s="4" t="s">
        <v>127</v>
      </c>
      <c r="H247" s="5"/>
      <c r="I247" s="4" t="s">
        <v>194</v>
      </c>
      <c r="J247" s="27">
        <v>0.0</v>
      </c>
      <c r="K247" s="5"/>
      <c r="L247" s="4" t="s">
        <v>89</v>
      </c>
      <c r="M247" s="28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29"/>
      <c r="K248" s="5"/>
      <c r="L248" s="5"/>
      <c r="M248" s="28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29"/>
      <c r="K249" s="5"/>
      <c r="L249" s="5"/>
      <c r="M249" s="28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29"/>
      <c r="K250" s="5"/>
      <c r="L250" s="5"/>
      <c r="M250" s="28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29"/>
      <c r="K251" s="5"/>
      <c r="L251" s="5"/>
      <c r="M251" s="28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29"/>
      <c r="K252" s="5"/>
      <c r="L252" s="5"/>
      <c r="M252" s="28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29"/>
      <c r="K253" s="5"/>
      <c r="L253" s="5"/>
      <c r="M253" s="28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29"/>
      <c r="K254" s="5"/>
      <c r="L254" s="5"/>
      <c r="M254" s="28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29"/>
      <c r="K255" s="5"/>
      <c r="L255" s="5"/>
      <c r="M255" s="28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29"/>
      <c r="K256" s="5"/>
      <c r="L256" s="5"/>
      <c r="M256" s="28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29"/>
      <c r="K257" s="5"/>
      <c r="L257" s="5"/>
      <c r="M257" s="28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29"/>
      <c r="K258" s="5"/>
      <c r="L258" s="5"/>
      <c r="M258" s="28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29"/>
      <c r="K259" s="5"/>
      <c r="L259" s="5"/>
      <c r="M259" s="28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29"/>
      <c r="K260" s="5"/>
      <c r="L260" s="5"/>
      <c r="M260" s="28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29"/>
      <c r="K261" s="5"/>
      <c r="L261" s="5"/>
      <c r="M261" s="28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29"/>
      <c r="K262" s="5"/>
      <c r="L262" s="5"/>
      <c r="M262" s="28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29"/>
      <c r="K263" s="5"/>
      <c r="L263" s="5"/>
      <c r="M263" s="28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29"/>
      <c r="K264" s="5"/>
      <c r="L264" s="5"/>
      <c r="M264" s="28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29"/>
      <c r="K265" s="5"/>
      <c r="L265" s="5"/>
      <c r="M265" s="28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29"/>
      <c r="K266" s="5"/>
      <c r="L266" s="5"/>
      <c r="M266" s="28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29"/>
      <c r="K267" s="5"/>
      <c r="L267" s="5"/>
      <c r="M267" s="28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29"/>
      <c r="K268" s="5"/>
      <c r="L268" s="5"/>
      <c r="M268" s="28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29"/>
      <c r="K269" s="5"/>
      <c r="L269" s="5"/>
      <c r="M269" s="28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29"/>
      <c r="K270" s="5"/>
      <c r="L270" s="5"/>
      <c r="M270" s="28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29"/>
      <c r="K271" s="5"/>
      <c r="L271" s="5"/>
      <c r="M271" s="28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29"/>
      <c r="K272" s="5"/>
      <c r="L272" s="5"/>
      <c r="M272" s="28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29"/>
      <c r="K273" s="5"/>
      <c r="L273" s="5"/>
      <c r="M273" s="28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29"/>
      <c r="K274" s="5"/>
      <c r="L274" s="5"/>
      <c r="M274" s="28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29"/>
      <c r="K275" s="5"/>
      <c r="L275" s="5"/>
      <c r="M275" s="28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29"/>
      <c r="K276" s="5"/>
      <c r="L276" s="5"/>
      <c r="M276" s="28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29"/>
      <c r="K277" s="5"/>
      <c r="L277" s="5"/>
      <c r="M277" s="28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29"/>
      <c r="K278" s="5"/>
      <c r="L278" s="5"/>
      <c r="M278" s="28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29"/>
      <c r="K279" s="5"/>
      <c r="L279" s="5"/>
      <c r="M279" s="28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29"/>
      <c r="K280" s="5"/>
      <c r="L280" s="5"/>
      <c r="M280" s="28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29"/>
      <c r="K281" s="5"/>
      <c r="L281" s="5"/>
      <c r="M281" s="28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29"/>
      <c r="K282" s="5"/>
      <c r="L282" s="5"/>
      <c r="M282" s="28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29"/>
      <c r="K283" s="5"/>
      <c r="L283" s="5"/>
      <c r="M283" s="28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29"/>
      <c r="K284" s="5"/>
      <c r="L284" s="5"/>
      <c r="M284" s="28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29"/>
      <c r="K285" s="5"/>
      <c r="L285" s="5"/>
      <c r="M285" s="28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29"/>
      <c r="K286" s="5"/>
      <c r="L286" s="5"/>
      <c r="M286" s="28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29"/>
      <c r="K287" s="5"/>
      <c r="L287" s="5"/>
      <c r="M287" s="28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29"/>
      <c r="K288" s="5"/>
      <c r="L288" s="5"/>
      <c r="M288" s="28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29"/>
      <c r="K289" s="5"/>
      <c r="L289" s="5"/>
      <c r="M289" s="28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29"/>
      <c r="K290" s="5"/>
      <c r="L290" s="5"/>
      <c r="M290" s="28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29"/>
      <c r="K291" s="5"/>
      <c r="L291" s="5"/>
      <c r="M291" s="28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29"/>
      <c r="K292" s="5"/>
      <c r="L292" s="5"/>
      <c r="M292" s="28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29"/>
      <c r="K293" s="5"/>
      <c r="L293" s="5"/>
      <c r="M293" s="28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29"/>
      <c r="K294" s="5"/>
      <c r="L294" s="5"/>
      <c r="M294" s="28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29"/>
      <c r="K295" s="5"/>
      <c r="L295" s="5"/>
      <c r="M295" s="28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29"/>
      <c r="K296" s="5"/>
      <c r="L296" s="5"/>
      <c r="M296" s="28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29"/>
      <c r="K297" s="5"/>
      <c r="L297" s="5"/>
      <c r="M297" s="28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29"/>
      <c r="K298" s="5"/>
      <c r="L298" s="5"/>
      <c r="M298" s="28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29"/>
      <c r="K299" s="5"/>
      <c r="L299" s="5"/>
      <c r="M299" s="28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29"/>
      <c r="K300" s="5"/>
      <c r="L300" s="5"/>
      <c r="M300" s="28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29"/>
      <c r="K301" s="5"/>
      <c r="L301" s="5"/>
      <c r="M301" s="28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29"/>
      <c r="K302" s="5"/>
      <c r="L302" s="5"/>
      <c r="M302" s="28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29"/>
      <c r="K303" s="5"/>
      <c r="L303" s="5"/>
      <c r="M303" s="28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29"/>
      <c r="K304" s="5"/>
      <c r="L304" s="5"/>
      <c r="M304" s="28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>
        <f>1350000/6</f>
        <v>225000</v>
      </c>
      <c r="D305" s="5"/>
      <c r="E305" s="5"/>
      <c r="F305" s="5"/>
      <c r="G305" s="5"/>
      <c r="H305" s="5"/>
      <c r="I305" s="5"/>
      <c r="J305" s="29"/>
      <c r="K305" s="5"/>
      <c r="L305" s="5"/>
      <c r="M305" s="28"/>
      <c r="N305" s="5"/>
      <c r="O305" s="5"/>
      <c r="P305" s="5"/>
      <c r="Q305" s="5"/>
      <c r="R305" s="5"/>
      <c r="S305" s="5"/>
      <c r="T305" s="5"/>
    </row>
    <row r="306">
      <c r="A306" s="4" t="s">
        <v>669</v>
      </c>
      <c r="B306" s="4" t="s">
        <v>84</v>
      </c>
      <c r="C306" s="4" t="s">
        <v>670</v>
      </c>
      <c r="D306" s="4" t="s">
        <v>116</v>
      </c>
      <c r="E306" s="4" t="s">
        <v>83</v>
      </c>
      <c r="F306" s="4" t="s">
        <v>67</v>
      </c>
      <c r="G306" s="4" t="s">
        <v>14</v>
      </c>
      <c r="H306" s="4" t="s">
        <v>671</v>
      </c>
      <c r="I306" s="4" t="s">
        <v>194</v>
      </c>
      <c r="J306" s="27">
        <v>0.0</v>
      </c>
      <c r="K306" s="5"/>
      <c r="L306" s="4" t="s">
        <v>89</v>
      </c>
      <c r="M306" s="28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29"/>
      <c r="K307" s="5"/>
      <c r="L307" s="5"/>
      <c r="M307" s="28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29"/>
      <c r="K308" s="5"/>
      <c r="L308" s="5"/>
      <c r="M308" s="28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29"/>
      <c r="K309" s="5"/>
      <c r="L309" s="5"/>
      <c r="M309" s="28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29"/>
      <c r="K310" s="5"/>
      <c r="L310" s="5"/>
      <c r="M310" s="28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29"/>
      <c r="K311" s="5"/>
      <c r="L311" s="5"/>
      <c r="M311" s="28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29"/>
      <c r="K312" s="5"/>
      <c r="L312" s="5"/>
      <c r="M312" s="28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29"/>
      <c r="K313" s="5"/>
      <c r="L313" s="5"/>
      <c r="M313" s="28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29"/>
      <c r="K314" s="5"/>
      <c r="L314" s="5"/>
      <c r="M314" s="28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29"/>
      <c r="K315" s="5"/>
      <c r="L315" s="5"/>
      <c r="M315" s="28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29"/>
      <c r="K316" s="5"/>
      <c r="L316" s="5"/>
      <c r="M316" s="28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29"/>
      <c r="K317" s="5"/>
      <c r="L317" s="5"/>
      <c r="M317" s="28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29"/>
      <c r="K318" s="5"/>
      <c r="L318" s="5"/>
      <c r="M318" s="28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29"/>
      <c r="K319" s="5"/>
      <c r="L319" s="5"/>
      <c r="M319" s="28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29"/>
      <c r="K320" s="5"/>
      <c r="L320" s="5"/>
      <c r="M320" s="28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29"/>
      <c r="K321" s="5"/>
      <c r="L321" s="5"/>
      <c r="M321" s="28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29"/>
      <c r="K322" s="5"/>
      <c r="L322" s="5"/>
      <c r="M322" s="28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29"/>
      <c r="K323" s="5"/>
      <c r="L323" s="5"/>
      <c r="M323" s="28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29"/>
      <c r="K324" s="5"/>
      <c r="L324" s="5"/>
      <c r="M324" s="28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29"/>
      <c r="K325" s="5"/>
      <c r="L325" s="5"/>
      <c r="M325" s="28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29"/>
      <c r="K326" s="5"/>
      <c r="L326" s="5"/>
      <c r="M326" s="28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29"/>
      <c r="K327" s="5"/>
      <c r="L327" s="5"/>
      <c r="M327" s="28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29"/>
      <c r="K328" s="5"/>
      <c r="L328" s="5"/>
      <c r="M328" s="28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29"/>
      <c r="K329" s="5"/>
      <c r="L329" s="5"/>
      <c r="M329" s="28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29"/>
      <c r="K330" s="5"/>
      <c r="L330" s="5"/>
      <c r="M330" s="28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29"/>
      <c r="K331" s="5"/>
      <c r="L331" s="5"/>
      <c r="M331" s="28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29"/>
      <c r="K332" s="5"/>
      <c r="L332" s="5"/>
      <c r="M332" s="28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29"/>
      <c r="K333" s="5"/>
      <c r="L333" s="5"/>
      <c r="M333" s="28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29"/>
      <c r="K334" s="5"/>
      <c r="L334" s="5"/>
      <c r="M334" s="28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29"/>
      <c r="K335" s="5"/>
      <c r="L335" s="5"/>
      <c r="M335" s="28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29"/>
      <c r="K336" s="5"/>
      <c r="L336" s="5"/>
      <c r="M336" s="28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29"/>
      <c r="K337" s="5"/>
      <c r="L337" s="5"/>
      <c r="M337" s="28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29"/>
      <c r="K338" s="5"/>
      <c r="L338" s="5"/>
      <c r="M338" s="28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29"/>
      <c r="K339" s="5"/>
      <c r="L339" s="5"/>
      <c r="M339" s="28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29"/>
      <c r="K340" s="5"/>
      <c r="L340" s="5"/>
      <c r="M340" s="28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29"/>
      <c r="K341" s="5"/>
      <c r="L341" s="5"/>
      <c r="M341" s="28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29"/>
      <c r="K342" s="5"/>
      <c r="L342" s="5"/>
      <c r="M342" s="28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29"/>
      <c r="K343" s="5"/>
      <c r="L343" s="5"/>
      <c r="M343" s="28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29"/>
      <c r="K344" s="5"/>
      <c r="L344" s="5"/>
      <c r="M344" s="28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29"/>
      <c r="K345" s="5"/>
      <c r="L345" s="5"/>
      <c r="M345" s="28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29"/>
      <c r="K346" s="5"/>
      <c r="L346" s="5"/>
      <c r="M346" s="28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29"/>
      <c r="K347" s="5"/>
      <c r="L347" s="5"/>
      <c r="M347" s="28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29"/>
      <c r="K348" s="5"/>
      <c r="L348" s="5"/>
      <c r="M348" s="28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29"/>
      <c r="K349" s="5"/>
      <c r="L349" s="5"/>
      <c r="M349" s="28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29"/>
      <c r="K350" s="5"/>
      <c r="L350" s="5"/>
      <c r="M350" s="28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29"/>
      <c r="K351" s="5"/>
      <c r="L351" s="5"/>
      <c r="M351" s="28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29"/>
      <c r="K352" s="5"/>
      <c r="L352" s="5"/>
      <c r="M352" s="28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29"/>
      <c r="K353" s="5"/>
      <c r="L353" s="5"/>
      <c r="M353" s="28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29"/>
      <c r="K354" s="5"/>
      <c r="L354" s="5"/>
      <c r="M354" s="28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29"/>
      <c r="K355" s="5"/>
      <c r="L355" s="5"/>
      <c r="M355" s="28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29"/>
      <c r="K356" s="5"/>
      <c r="L356" s="5"/>
      <c r="M356" s="28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29"/>
      <c r="K357" s="5"/>
      <c r="L357" s="5"/>
      <c r="M357" s="28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29"/>
      <c r="K358" s="5"/>
      <c r="L358" s="5"/>
      <c r="M358" s="28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29"/>
      <c r="K359" s="5"/>
      <c r="L359" s="5"/>
      <c r="M359" s="28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29"/>
      <c r="K360" s="5"/>
      <c r="L360" s="5"/>
      <c r="M360" s="28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29"/>
      <c r="K361" s="5"/>
      <c r="L361" s="5"/>
      <c r="M361" s="28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29"/>
      <c r="K362" s="5"/>
      <c r="L362" s="5"/>
      <c r="M362" s="28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29"/>
      <c r="K363" s="5"/>
      <c r="L363" s="5"/>
      <c r="M363" s="28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29"/>
      <c r="K364" s="5"/>
      <c r="L364" s="5"/>
      <c r="M364" s="28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29"/>
      <c r="K365" s="5"/>
      <c r="L365" s="5"/>
      <c r="M365" s="28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29"/>
      <c r="K366" s="5"/>
      <c r="L366" s="5"/>
      <c r="M366" s="28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29"/>
      <c r="K367" s="5"/>
      <c r="L367" s="5"/>
      <c r="M367" s="28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29"/>
      <c r="K368" s="5"/>
      <c r="L368" s="5"/>
      <c r="M368" s="28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29"/>
      <c r="K369" s="5"/>
      <c r="L369" s="5"/>
      <c r="M369" s="28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29"/>
      <c r="K370" s="5"/>
      <c r="L370" s="5"/>
      <c r="M370" s="28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29"/>
      <c r="K371" s="5"/>
      <c r="L371" s="5"/>
      <c r="M371" s="28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29"/>
      <c r="K372" s="5"/>
      <c r="L372" s="5"/>
      <c r="M372" s="28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29"/>
      <c r="K373" s="5"/>
      <c r="L373" s="5"/>
      <c r="M373" s="28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29"/>
      <c r="K374" s="5"/>
      <c r="L374" s="5"/>
      <c r="M374" s="28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29"/>
      <c r="K375" s="5"/>
      <c r="L375" s="5"/>
      <c r="M375" s="28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29"/>
      <c r="K376" s="5"/>
      <c r="L376" s="5"/>
      <c r="M376" s="28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29"/>
      <c r="K377" s="5"/>
      <c r="L377" s="5"/>
      <c r="M377" s="28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29"/>
      <c r="K378" s="5"/>
      <c r="L378" s="5"/>
      <c r="M378" s="28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29"/>
      <c r="K379" s="5"/>
      <c r="L379" s="5"/>
      <c r="M379" s="28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29"/>
      <c r="K380" s="5"/>
      <c r="L380" s="5"/>
      <c r="M380" s="28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29"/>
      <c r="K381" s="5"/>
      <c r="L381" s="5"/>
      <c r="M381" s="28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29"/>
      <c r="K382" s="5"/>
      <c r="L382" s="5"/>
      <c r="M382" s="28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29"/>
      <c r="K383" s="5"/>
      <c r="L383" s="5"/>
      <c r="M383" s="28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29"/>
      <c r="K384" s="5"/>
      <c r="L384" s="5"/>
      <c r="M384" s="28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29"/>
      <c r="K385" s="5"/>
      <c r="L385" s="5"/>
      <c r="M385" s="28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29"/>
      <c r="K386" s="5"/>
      <c r="L386" s="5"/>
      <c r="M386" s="28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29"/>
      <c r="K387" s="5"/>
      <c r="L387" s="5"/>
      <c r="M387" s="28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29"/>
      <c r="K388" s="5"/>
      <c r="L388" s="5"/>
      <c r="M388" s="28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29"/>
      <c r="K389" s="5"/>
      <c r="L389" s="5"/>
      <c r="M389" s="28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29"/>
      <c r="K390" s="5"/>
      <c r="L390" s="5"/>
      <c r="M390" s="28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29"/>
      <c r="K391" s="5"/>
      <c r="L391" s="5"/>
      <c r="M391" s="28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29"/>
      <c r="K392" s="5"/>
      <c r="L392" s="5"/>
      <c r="M392" s="28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29"/>
      <c r="K393" s="5"/>
      <c r="L393" s="5"/>
      <c r="M393" s="28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29"/>
      <c r="K394" s="5"/>
      <c r="L394" s="5"/>
      <c r="M394" s="28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29"/>
      <c r="K395" s="5"/>
      <c r="L395" s="5"/>
      <c r="M395" s="28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29"/>
      <c r="K396" s="5"/>
      <c r="L396" s="5"/>
      <c r="M396" s="28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29"/>
      <c r="K397" s="5"/>
      <c r="L397" s="5"/>
      <c r="M397" s="28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29"/>
      <c r="K398" s="5"/>
      <c r="L398" s="5"/>
      <c r="M398" s="28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29"/>
      <c r="K399" s="5"/>
      <c r="L399" s="5"/>
      <c r="M399" s="28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29"/>
      <c r="K400" s="5"/>
      <c r="L400" s="5"/>
      <c r="M400" s="28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29"/>
      <c r="K401" s="5"/>
      <c r="L401" s="5"/>
      <c r="M401" s="28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29"/>
      <c r="K402" s="5"/>
      <c r="L402" s="5"/>
      <c r="M402" s="28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29"/>
      <c r="K403" s="5"/>
      <c r="L403" s="5"/>
      <c r="M403" s="28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29"/>
      <c r="K404" s="5"/>
      <c r="L404" s="5"/>
      <c r="M404" s="28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29"/>
      <c r="K405" s="5"/>
      <c r="L405" s="5"/>
      <c r="M405" s="28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29"/>
      <c r="K406" s="5"/>
      <c r="L406" s="5"/>
      <c r="M406" s="28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29"/>
      <c r="K407" s="5"/>
      <c r="L407" s="5"/>
      <c r="M407" s="28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29"/>
      <c r="K408" s="5"/>
      <c r="L408" s="5"/>
      <c r="M408" s="28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29"/>
      <c r="K409" s="5"/>
      <c r="L409" s="5"/>
      <c r="M409" s="28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29"/>
      <c r="K410" s="5"/>
      <c r="L410" s="5"/>
      <c r="M410" s="28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29"/>
      <c r="K411" s="5"/>
      <c r="L411" s="5"/>
      <c r="M411" s="28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29"/>
      <c r="K412" s="5"/>
      <c r="L412" s="5"/>
      <c r="M412" s="28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29"/>
      <c r="K413" s="5"/>
      <c r="L413" s="5"/>
      <c r="M413" s="28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29"/>
      <c r="K414" s="5"/>
      <c r="L414" s="5"/>
      <c r="M414" s="28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29"/>
      <c r="K415" s="5"/>
      <c r="L415" s="5"/>
      <c r="M415" s="28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29"/>
      <c r="K416" s="5"/>
      <c r="L416" s="5"/>
      <c r="M416" s="28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29"/>
      <c r="K417" s="5"/>
      <c r="L417" s="5"/>
      <c r="M417" s="28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29"/>
      <c r="K418" s="5"/>
      <c r="L418" s="5"/>
      <c r="M418" s="28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29"/>
      <c r="K419" s="5"/>
      <c r="L419" s="5"/>
      <c r="M419" s="28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29"/>
      <c r="K420" s="5"/>
      <c r="L420" s="5"/>
      <c r="M420" s="28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29"/>
      <c r="K421" s="5"/>
      <c r="L421" s="5"/>
      <c r="M421" s="28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29"/>
      <c r="K422" s="5"/>
      <c r="L422" s="5"/>
      <c r="M422" s="28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29"/>
      <c r="K423" s="5"/>
      <c r="L423" s="5"/>
      <c r="M423" s="28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29"/>
      <c r="K424" s="5"/>
      <c r="L424" s="5"/>
      <c r="M424" s="28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29"/>
      <c r="K425" s="5"/>
      <c r="L425" s="5"/>
      <c r="M425" s="28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29"/>
      <c r="K426" s="5"/>
      <c r="L426" s="5"/>
      <c r="M426" s="28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29"/>
      <c r="K427" s="5"/>
      <c r="L427" s="5"/>
      <c r="M427" s="28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29"/>
      <c r="K428" s="5"/>
      <c r="L428" s="5"/>
      <c r="M428" s="28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29"/>
      <c r="K429" s="5"/>
      <c r="L429" s="5"/>
      <c r="M429" s="28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29"/>
      <c r="K430" s="5"/>
      <c r="L430" s="5"/>
      <c r="M430" s="28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29"/>
      <c r="K431" s="5"/>
      <c r="L431" s="5"/>
      <c r="M431" s="28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29"/>
      <c r="K432" s="5"/>
      <c r="L432" s="5"/>
      <c r="M432" s="28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29"/>
      <c r="K433" s="5"/>
      <c r="L433" s="5"/>
      <c r="M433" s="28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29"/>
      <c r="K434" s="5"/>
      <c r="L434" s="5"/>
      <c r="M434" s="28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29"/>
      <c r="K435" s="5"/>
      <c r="L435" s="5"/>
      <c r="M435" s="28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29"/>
      <c r="K436" s="5"/>
      <c r="L436" s="5"/>
      <c r="M436" s="28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29"/>
      <c r="K437" s="5"/>
      <c r="L437" s="5"/>
      <c r="M437" s="28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29"/>
      <c r="K438" s="5"/>
      <c r="L438" s="5"/>
      <c r="M438" s="28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29"/>
      <c r="K439" s="5"/>
      <c r="L439" s="5"/>
      <c r="M439" s="28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29"/>
      <c r="K440" s="5"/>
      <c r="L440" s="5"/>
      <c r="M440" s="28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29"/>
      <c r="K441" s="5"/>
      <c r="L441" s="5"/>
      <c r="M441" s="28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29"/>
      <c r="K442" s="5"/>
      <c r="L442" s="5"/>
      <c r="M442" s="28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29"/>
      <c r="K443" s="5"/>
      <c r="L443" s="5"/>
      <c r="M443" s="28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29"/>
      <c r="K444" s="5"/>
      <c r="L444" s="5"/>
      <c r="M444" s="28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29"/>
      <c r="K445" s="5"/>
      <c r="L445" s="5"/>
      <c r="M445" s="28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29"/>
      <c r="K446" s="5"/>
      <c r="L446" s="5"/>
      <c r="M446" s="28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29"/>
      <c r="K447" s="5"/>
      <c r="L447" s="5"/>
      <c r="M447" s="28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29"/>
      <c r="K448" s="5"/>
      <c r="L448" s="5"/>
      <c r="M448" s="28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29"/>
      <c r="K449" s="5"/>
      <c r="L449" s="5"/>
      <c r="M449" s="28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29"/>
      <c r="K450" s="5"/>
      <c r="L450" s="5"/>
      <c r="M450" s="28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29"/>
      <c r="K451" s="5"/>
      <c r="L451" s="5"/>
      <c r="M451" s="28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29"/>
      <c r="K452" s="5"/>
      <c r="L452" s="5"/>
      <c r="M452" s="28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29"/>
      <c r="K453" s="5"/>
      <c r="L453" s="5"/>
      <c r="M453" s="28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29"/>
      <c r="K454" s="5"/>
      <c r="L454" s="5"/>
      <c r="M454" s="28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29"/>
      <c r="K455" s="5"/>
      <c r="L455" s="5"/>
      <c r="M455" s="28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29"/>
      <c r="K456" s="5"/>
      <c r="L456" s="5"/>
      <c r="M456" s="28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29"/>
      <c r="K457" s="5"/>
      <c r="L457" s="5"/>
      <c r="M457" s="28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29"/>
      <c r="K458" s="5"/>
      <c r="L458" s="5"/>
      <c r="M458" s="28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29"/>
      <c r="K459" s="5"/>
      <c r="L459" s="5"/>
      <c r="M459" s="28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29"/>
      <c r="K460" s="5"/>
      <c r="L460" s="5"/>
      <c r="M460" s="28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29"/>
      <c r="K461" s="5"/>
      <c r="L461" s="5"/>
      <c r="M461" s="28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29"/>
      <c r="K462" s="5"/>
      <c r="L462" s="5"/>
      <c r="M462" s="28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29"/>
      <c r="K463" s="5"/>
      <c r="L463" s="5"/>
      <c r="M463" s="28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29"/>
      <c r="K464" s="5"/>
      <c r="L464" s="5"/>
      <c r="M464" s="28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29"/>
      <c r="K465" s="5"/>
      <c r="L465" s="5"/>
      <c r="M465" s="28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29"/>
      <c r="K466" s="5"/>
      <c r="L466" s="5"/>
      <c r="M466" s="28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29"/>
      <c r="K467" s="5"/>
      <c r="L467" s="5"/>
      <c r="M467" s="28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29"/>
      <c r="K468" s="5"/>
      <c r="L468" s="5"/>
      <c r="M468" s="28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29"/>
      <c r="K469" s="5"/>
      <c r="L469" s="5"/>
      <c r="M469" s="28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29"/>
      <c r="K470" s="5"/>
      <c r="L470" s="5"/>
      <c r="M470" s="28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29"/>
      <c r="K471" s="5"/>
      <c r="L471" s="5"/>
      <c r="M471" s="28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29"/>
      <c r="K472" s="5"/>
      <c r="L472" s="5"/>
      <c r="M472" s="28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29"/>
      <c r="K473" s="5"/>
      <c r="L473" s="5"/>
      <c r="M473" s="28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29"/>
      <c r="K474" s="5"/>
      <c r="L474" s="5"/>
      <c r="M474" s="28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29"/>
      <c r="K475" s="5"/>
      <c r="L475" s="5"/>
      <c r="M475" s="28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29"/>
      <c r="K476" s="5"/>
      <c r="L476" s="5"/>
      <c r="M476" s="28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29"/>
      <c r="K477" s="5"/>
      <c r="L477" s="5"/>
      <c r="M477" s="28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29"/>
      <c r="K478" s="5"/>
      <c r="L478" s="5"/>
      <c r="M478" s="28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29"/>
      <c r="K479" s="5"/>
      <c r="L479" s="5"/>
      <c r="M479" s="28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29"/>
      <c r="K480" s="5"/>
      <c r="L480" s="5"/>
      <c r="M480" s="28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29"/>
      <c r="K481" s="5"/>
      <c r="L481" s="5"/>
      <c r="M481" s="28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29"/>
      <c r="K482" s="5"/>
      <c r="L482" s="5"/>
      <c r="M482" s="28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29"/>
      <c r="K483" s="5"/>
      <c r="L483" s="5"/>
      <c r="M483" s="28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29"/>
      <c r="K484" s="5"/>
      <c r="L484" s="5"/>
      <c r="M484" s="28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29"/>
      <c r="K485" s="5"/>
      <c r="L485" s="5"/>
      <c r="M485" s="28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29"/>
      <c r="K486" s="5"/>
      <c r="L486" s="5"/>
      <c r="M486" s="28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29"/>
      <c r="K487" s="5"/>
      <c r="L487" s="5"/>
      <c r="M487" s="28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29"/>
      <c r="K488" s="5"/>
      <c r="L488" s="5"/>
      <c r="M488" s="28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29"/>
      <c r="K489" s="5"/>
      <c r="L489" s="5"/>
      <c r="M489" s="28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29"/>
      <c r="K490" s="5"/>
      <c r="L490" s="5"/>
      <c r="M490" s="28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29"/>
      <c r="K491" s="5"/>
      <c r="L491" s="5"/>
      <c r="M491" s="28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29"/>
      <c r="K492" s="5"/>
      <c r="L492" s="5"/>
      <c r="M492" s="28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29"/>
      <c r="K493" s="5"/>
      <c r="L493" s="5"/>
      <c r="M493" s="28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29"/>
      <c r="K494" s="5"/>
      <c r="L494" s="5"/>
      <c r="M494" s="28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29"/>
      <c r="K495" s="5"/>
      <c r="L495" s="5"/>
      <c r="M495" s="28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29"/>
      <c r="K496" s="5"/>
      <c r="L496" s="5"/>
      <c r="M496" s="28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29"/>
      <c r="K497" s="5"/>
      <c r="L497" s="5"/>
      <c r="M497" s="28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29"/>
      <c r="K498" s="5"/>
      <c r="L498" s="5"/>
      <c r="M498" s="28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29"/>
      <c r="K499" s="5"/>
      <c r="L499" s="5"/>
      <c r="M499" s="28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29"/>
      <c r="K500" s="5"/>
      <c r="L500" s="5"/>
      <c r="M500" s="28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29"/>
      <c r="K501" s="5"/>
      <c r="L501" s="5"/>
      <c r="M501" s="28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29"/>
      <c r="K502" s="5"/>
      <c r="L502" s="5"/>
      <c r="M502" s="28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29"/>
      <c r="K503" s="5"/>
      <c r="L503" s="5"/>
      <c r="M503" s="28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29"/>
      <c r="K504" s="5"/>
      <c r="L504" s="5"/>
      <c r="M504" s="28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29"/>
      <c r="K505" s="5"/>
      <c r="L505" s="5"/>
      <c r="M505" s="28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29"/>
      <c r="K506" s="5"/>
      <c r="L506" s="5"/>
      <c r="M506" s="28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29"/>
      <c r="K507" s="5"/>
      <c r="L507" s="5"/>
      <c r="M507" s="28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29"/>
      <c r="K508" s="5"/>
      <c r="L508" s="5"/>
      <c r="M508" s="28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29"/>
      <c r="K509" s="5"/>
      <c r="L509" s="5"/>
      <c r="M509" s="28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29"/>
      <c r="K510" s="5"/>
      <c r="L510" s="5"/>
      <c r="M510" s="28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29"/>
      <c r="K511" s="5"/>
      <c r="L511" s="5"/>
      <c r="M511" s="28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29"/>
      <c r="K512" s="5"/>
      <c r="L512" s="5"/>
      <c r="M512" s="28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29"/>
      <c r="K513" s="5"/>
      <c r="L513" s="5"/>
      <c r="M513" s="28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29"/>
      <c r="K514" s="5"/>
      <c r="L514" s="5"/>
      <c r="M514" s="28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29"/>
      <c r="K515" s="5"/>
      <c r="L515" s="5"/>
      <c r="M515" s="28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29"/>
      <c r="K516" s="5"/>
      <c r="L516" s="5"/>
      <c r="M516" s="28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29"/>
      <c r="K517" s="5"/>
      <c r="L517" s="5"/>
      <c r="M517" s="28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29"/>
      <c r="K518" s="5"/>
      <c r="L518" s="5"/>
      <c r="M518" s="28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29"/>
      <c r="K519" s="5"/>
      <c r="L519" s="5"/>
      <c r="M519" s="28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29"/>
      <c r="K520" s="5"/>
      <c r="L520" s="5"/>
      <c r="M520" s="28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29"/>
      <c r="K521" s="5"/>
      <c r="L521" s="5"/>
      <c r="M521" s="28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29"/>
      <c r="K522" s="5"/>
      <c r="L522" s="5"/>
      <c r="M522" s="28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29"/>
      <c r="K523" s="5"/>
      <c r="L523" s="5"/>
      <c r="M523" s="28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29"/>
      <c r="K524" s="5"/>
      <c r="L524" s="5"/>
      <c r="M524" s="28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29"/>
      <c r="K525" s="5"/>
      <c r="L525" s="5"/>
      <c r="M525" s="28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29"/>
      <c r="K526" s="5"/>
      <c r="L526" s="5"/>
      <c r="M526" s="28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29"/>
      <c r="K527" s="5"/>
      <c r="L527" s="5"/>
      <c r="M527" s="28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29"/>
      <c r="K528" s="5"/>
      <c r="L528" s="5"/>
      <c r="M528" s="28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29"/>
      <c r="K529" s="5"/>
      <c r="L529" s="5"/>
      <c r="M529" s="28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29"/>
      <c r="K530" s="5"/>
      <c r="L530" s="5"/>
      <c r="M530" s="28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29"/>
      <c r="K531" s="5"/>
      <c r="L531" s="5"/>
      <c r="M531" s="28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29"/>
      <c r="K532" s="5"/>
      <c r="L532" s="5"/>
      <c r="M532" s="28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29"/>
      <c r="K533" s="5"/>
      <c r="L533" s="5"/>
      <c r="M533" s="28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29"/>
      <c r="K534" s="5"/>
      <c r="L534" s="5"/>
      <c r="M534" s="28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29"/>
      <c r="K535" s="5"/>
      <c r="L535" s="5"/>
      <c r="M535" s="28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29"/>
      <c r="K536" s="5"/>
      <c r="L536" s="5"/>
      <c r="M536" s="28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29"/>
      <c r="K537" s="5"/>
      <c r="L537" s="5"/>
      <c r="M537" s="28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29"/>
      <c r="K538" s="5"/>
      <c r="L538" s="5"/>
      <c r="M538" s="28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29"/>
      <c r="K539" s="5"/>
      <c r="L539" s="5"/>
      <c r="M539" s="28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29"/>
      <c r="K540" s="5"/>
      <c r="L540" s="5"/>
      <c r="M540" s="28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29"/>
      <c r="K541" s="5"/>
      <c r="L541" s="5"/>
      <c r="M541" s="28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29"/>
      <c r="K542" s="5"/>
      <c r="L542" s="5"/>
      <c r="M542" s="28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29"/>
      <c r="K543" s="5"/>
      <c r="L543" s="5"/>
      <c r="M543" s="28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29"/>
      <c r="K544" s="5"/>
      <c r="L544" s="5"/>
      <c r="M544" s="28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29"/>
      <c r="K545" s="5"/>
      <c r="L545" s="5"/>
      <c r="M545" s="28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29"/>
      <c r="K546" s="5"/>
      <c r="L546" s="5"/>
      <c r="M546" s="28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29"/>
      <c r="K547" s="5"/>
      <c r="L547" s="5"/>
      <c r="M547" s="28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29"/>
      <c r="K548" s="5"/>
      <c r="L548" s="5"/>
      <c r="M548" s="28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29"/>
      <c r="K549" s="5"/>
      <c r="L549" s="5"/>
      <c r="M549" s="28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29"/>
      <c r="K550" s="5"/>
      <c r="L550" s="5"/>
      <c r="M550" s="28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29"/>
      <c r="K551" s="5"/>
      <c r="L551" s="5"/>
      <c r="M551" s="28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29"/>
      <c r="K552" s="5"/>
      <c r="L552" s="5"/>
      <c r="M552" s="28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29"/>
      <c r="K553" s="5"/>
      <c r="L553" s="5"/>
      <c r="M553" s="28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29"/>
      <c r="K554" s="5"/>
      <c r="L554" s="5"/>
      <c r="M554" s="28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29"/>
      <c r="K555" s="5"/>
      <c r="L555" s="5"/>
      <c r="M555" s="28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29"/>
      <c r="K556" s="5"/>
      <c r="L556" s="5"/>
      <c r="M556" s="28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29"/>
      <c r="K557" s="5"/>
      <c r="L557" s="5"/>
      <c r="M557" s="28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29"/>
      <c r="K558" s="5"/>
      <c r="L558" s="5"/>
      <c r="M558" s="28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29"/>
      <c r="K559" s="5"/>
      <c r="L559" s="5"/>
      <c r="M559" s="28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29"/>
      <c r="K560" s="5"/>
      <c r="L560" s="5"/>
      <c r="M560" s="28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29"/>
      <c r="K561" s="5"/>
      <c r="L561" s="5"/>
      <c r="M561" s="28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29"/>
      <c r="K562" s="5"/>
      <c r="L562" s="5"/>
      <c r="M562" s="28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29"/>
      <c r="K563" s="5"/>
      <c r="L563" s="5"/>
      <c r="M563" s="28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29"/>
      <c r="K564" s="5"/>
      <c r="L564" s="5"/>
      <c r="M564" s="28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29"/>
      <c r="K565" s="5"/>
      <c r="L565" s="5"/>
      <c r="M565" s="28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29"/>
      <c r="K566" s="5"/>
      <c r="L566" s="5"/>
      <c r="M566" s="28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29"/>
      <c r="K567" s="5"/>
      <c r="L567" s="5"/>
      <c r="M567" s="28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29"/>
      <c r="K568" s="5"/>
      <c r="L568" s="5"/>
      <c r="M568" s="28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29"/>
      <c r="K569" s="5"/>
      <c r="L569" s="5"/>
      <c r="M569" s="28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29"/>
      <c r="K570" s="5"/>
      <c r="L570" s="5"/>
      <c r="M570" s="28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29"/>
      <c r="K571" s="5"/>
      <c r="L571" s="5"/>
      <c r="M571" s="28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29"/>
      <c r="K572" s="5"/>
      <c r="L572" s="5"/>
      <c r="M572" s="28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29"/>
      <c r="K573" s="5"/>
      <c r="L573" s="5"/>
      <c r="M573" s="28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29"/>
      <c r="K574" s="5"/>
      <c r="L574" s="5"/>
      <c r="M574" s="28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29"/>
      <c r="K575" s="5"/>
      <c r="L575" s="5"/>
      <c r="M575" s="28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29"/>
      <c r="K576" s="5"/>
      <c r="L576" s="5"/>
      <c r="M576" s="28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29"/>
      <c r="K577" s="5"/>
      <c r="L577" s="5"/>
      <c r="M577" s="28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29"/>
      <c r="K578" s="5"/>
      <c r="L578" s="5"/>
      <c r="M578" s="28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29"/>
      <c r="K579" s="5"/>
      <c r="L579" s="5"/>
      <c r="M579" s="28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29"/>
      <c r="K580" s="5"/>
      <c r="L580" s="5"/>
      <c r="M580" s="28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29"/>
      <c r="K581" s="5"/>
      <c r="L581" s="5"/>
      <c r="M581" s="28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29"/>
      <c r="K582" s="5"/>
      <c r="L582" s="5"/>
      <c r="M582" s="28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29"/>
      <c r="K583" s="5"/>
      <c r="L583" s="5"/>
      <c r="M583" s="28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29"/>
      <c r="K584" s="5"/>
      <c r="L584" s="5"/>
      <c r="M584" s="28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29"/>
      <c r="K585" s="5"/>
      <c r="L585" s="5"/>
      <c r="M585" s="28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29"/>
      <c r="K586" s="5"/>
      <c r="L586" s="5"/>
      <c r="M586" s="28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29"/>
      <c r="K587" s="5"/>
      <c r="L587" s="5"/>
      <c r="M587" s="28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29"/>
      <c r="K588" s="5"/>
      <c r="L588" s="5"/>
      <c r="M588" s="28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29"/>
      <c r="K589" s="5"/>
      <c r="L589" s="5"/>
      <c r="M589" s="28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29"/>
      <c r="K590" s="5"/>
      <c r="L590" s="5"/>
      <c r="M590" s="28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29"/>
      <c r="K591" s="5"/>
      <c r="L591" s="5"/>
      <c r="M591" s="28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29"/>
      <c r="K592" s="5"/>
      <c r="L592" s="5"/>
      <c r="M592" s="28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29"/>
      <c r="K593" s="5"/>
      <c r="L593" s="5"/>
      <c r="M593" s="28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29"/>
      <c r="K594" s="5"/>
      <c r="L594" s="5"/>
      <c r="M594" s="28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29"/>
      <c r="K595" s="5"/>
      <c r="L595" s="5"/>
      <c r="M595" s="28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29"/>
      <c r="K596" s="5"/>
      <c r="L596" s="5"/>
      <c r="M596" s="28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29"/>
      <c r="K597" s="5"/>
      <c r="L597" s="5"/>
      <c r="M597" s="28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29"/>
      <c r="K598" s="5"/>
      <c r="L598" s="5"/>
      <c r="M598" s="28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29"/>
      <c r="K599" s="5"/>
      <c r="L599" s="5"/>
      <c r="M599" s="28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29"/>
      <c r="K600" s="5"/>
      <c r="L600" s="5"/>
      <c r="M600" s="28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29"/>
      <c r="K601" s="5"/>
      <c r="L601" s="5"/>
      <c r="M601" s="28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29"/>
      <c r="K602" s="5"/>
      <c r="L602" s="5"/>
      <c r="M602" s="28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29"/>
      <c r="K603" s="5"/>
      <c r="L603" s="5"/>
      <c r="M603" s="28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29"/>
      <c r="K604" s="5"/>
      <c r="L604" s="5"/>
      <c r="M604" s="28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29"/>
      <c r="K605" s="5"/>
      <c r="L605" s="5"/>
      <c r="M605" s="28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29"/>
      <c r="K606" s="5"/>
      <c r="L606" s="5"/>
      <c r="M606" s="28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29"/>
      <c r="K607" s="5"/>
      <c r="L607" s="5"/>
      <c r="M607" s="28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29"/>
      <c r="K608" s="5"/>
      <c r="L608" s="5"/>
      <c r="M608" s="28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29"/>
      <c r="K609" s="5"/>
      <c r="L609" s="5"/>
      <c r="M609" s="28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29"/>
      <c r="K610" s="5"/>
      <c r="L610" s="5"/>
      <c r="M610" s="28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29"/>
      <c r="K611" s="5"/>
      <c r="L611" s="5"/>
      <c r="M611" s="28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29"/>
      <c r="K612" s="5"/>
      <c r="L612" s="5"/>
      <c r="M612" s="28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29"/>
      <c r="K613" s="5"/>
      <c r="L613" s="5"/>
      <c r="M613" s="28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29"/>
      <c r="K614" s="5"/>
      <c r="L614" s="5"/>
      <c r="M614" s="28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29"/>
      <c r="K615" s="5"/>
      <c r="L615" s="5"/>
      <c r="M615" s="28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29"/>
      <c r="K616" s="5"/>
      <c r="L616" s="5"/>
      <c r="M616" s="28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29"/>
      <c r="K617" s="5"/>
      <c r="L617" s="5"/>
      <c r="M617" s="28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29"/>
      <c r="K618" s="5"/>
      <c r="L618" s="5"/>
      <c r="M618" s="28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29"/>
      <c r="K619" s="5"/>
      <c r="L619" s="5"/>
      <c r="M619" s="28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29"/>
      <c r="K620" s="5"/>
      <c r="L620" s="5"/>
      <c r="M620" s="28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29"/>
      <c r="K621" s="5"/>
      <c r="L621" s="5"/>
      <c r="M621" s="28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29"/>
      <c r="K622" s="5"/>
      <c r="L622" s="5"/>
      <c r="M622" s="28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29"/>
      <c r="K623" s="5"/>
      <c r="L623" s="5"/>
      <c r="M623" s="28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29"/>
      <c r="K624" s="5"/>
      <c r="L624" s="5"/>
      <c r="M624" s="28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29"/>
      <c r="K625" s="5"/>
      <c r="L625" s="5"/>
      <c r="M625" s="28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29"/>
      <c r="K626" s="5"/>
      <c r="L626" s="5"/>
      <c r="M626" s="28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29"/>
      <c r="K627" s="5"/>
      <c r="L627" s="5"/>
      <c r="M627" s="28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29"/>
      <c r="K628" s="5"/>
      <c r="L628" s="5"/>
      <c r="M628" s="28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29"/>
      <c r="K629" s="5"/>
      <c r="L629" s="5"/>
      <c r="M629" s="28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29"/>
      <c r="K630" s="5"/>
      <c r="L630" s="5"/>
      <c r="M630" s="28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29"/>
      <c r="K631" s="5"/>
      <c r="L631" s="5"/>
      <c r="M631" s="28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29"/>
      <c r="K632" s="5"/>
      <c r="L632" s="5"/>
      <c r="M632" s="28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29"/>
      <c r="K633" s="5"/>
      <c r="L633" s="5"/>
      <c r="M633" s="28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29"/>
      <c r="K634" s="5"/>
      <c r="L634" s="5"/>
      <c r="M634" s="28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29"/>
      <c r="K635" s="5"/>
      <c r="L635" s="5"/>
      <c r="M635" s="28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29"/>
      <c r="K636" s="5"/>
      <c r="L636" s="5"/>
      <c r="M636" s="28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29"/>
      <c r="K637" s="5"/>
      <c r="L637" s="5"/>
      <c r="M637" s="28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29"/>
      <c r="K638" s="5"/>
      <c r="L638" s="5"/>
      <c r="M638" s="28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29"/>
      <c r="K639" s="5"/>
      <c r="L639" s="5"/>
      <c r="M639" s="28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29"/>
      <c r="K640" s="5"/>
      <c r="L640" s="5"/>
      <c r="M640" s="28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29"/>
      <c r="K641" s="5"/>
      <c r="L641" s="5"/>
      <c r="M641" s="28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29"/>
      <c r="K642" s="5"/>
      <c r="L642" s="5"/>
      <c r="M642" s="28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29"/>
      <c r="K643" s="5"/>
      <c r="L643" s="5"/>
      <c r="M643" s="28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29"/>
      <c r="K644" s="5"/>
      <c r="L644" s="5"/>
      <c r="M644" s="28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29"/>
      <c r="K645" s="5"/>
      <c r="L645" s="5"/>
      <c r="M645" s="28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29"/>
      <c r="K646" s="5"/>
      <c r="L646" s="5"/>
      <c r="M646" s="28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29"/>
      <c r="K647" s="5"/>
      <c r="L647" s="5"/>
      <c r="M647" s="28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29"/>
      <c r="K648" s="5"/>
      <c r="L648" s="5"/>
      <c r="M648" s="28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29"/>
      <c r="K649" s="5"/>
      <c r="L649" s="5"/>
      <c r="M649" s="28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29"/>
      <c r="K650" s="5"/>
      <c r="L650" s="5"/>
      <c r="M650" s="28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29"/>
      <c r="K651" s="5"/>
      <c r="L651" s="5"/>
      <c r="M651" s="28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29"/>
      <c r="K652" s="5"/>
      <c r="L652" s="5"/>
      <c r="M652" s="28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29"/>
      <c r="K653" s="5"/>
      <c r="L653" s="5"/>
      <c r="M653" s="28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29"/>
      <c r="K654" s="5"/>
      <c r="L654" s="5"/>
      <c r="M654" s="28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29"/>
      <c r="K655" s="5"/>
      <c r="L655" s="5"/>
      <c r="M655" s="28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29"/>
      <c r="K656" s="5"/>
      <c r="L656" s="5"/>
      <c r="M656" s="28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29"/>
      <c r="K657" s="5"/>
      <c r="L657" s="5"/>
      <c r="M657" s="28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29"/>
      <c r="K658" s="5"/>
      <c r="L658" s="5"/>
      <c r="M658" s="28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29"/>
      <c r="K659" s="5"/>
      <c r="L659" s="5"/>
      <c r="M659" s="28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29"/>
      <c r="K660" s="5"/>
      <c r="L660" s="5"/>
      <c r="M660" s="28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29"/>
      <c r="K661" s="5"/>
      <c r="L661" s="5"/>
      <c r="M661" s="28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29"/>
      <c r="K662" s="5"/>
      <c r="L662" s="5"/>
      <c r="M662" s="28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29"/>
      <c r="K663" s="5"/>
      <c r="L663" s="5"/>
      <c r="M663" s="28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29"/>
      <c r="K664" s="5"/>
      <c r="L664" s="5"/>
      <c r="M664" s="28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29"/>
      <c r="K665" s="5"/>
      <c r="L665" s="5"/>
      <c r="M665" s="28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29"/>
      <c r="K666" s="5"/>
      <c r="L666" s="5"/>
      <c r="M666" s="28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29"/>
      <c r="K667" s="5"/>
      <c r="L667" s="5"/>
      <c r="M667" s="28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29"/>
      <c r="K668" s="5"/>
      <c r="L668" s="5"/>
      <c r="M668" s="28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29"/>
      <c r="K669" s="5"/>
      <c r="L669" s="5"/>
      <c r="M669" s="28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29"/>
      <c r="K670" s="5"/>
      <c r="L670" s="5"/>
      <c r="M670" s="28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29"/>
      <c r="K671" s="5"/>
      <c r="L671" s="5"/>
      <c r="M671" s="28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29"/>
      <c r="K672" s="5"/>
      <c r="L672" s="5"/>
      <c r="M672" s="28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29"/>
      <c r="K673" s="5"/>
      <c r="L673" s="5"/>
      <c r="M673" s="28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29"/>
      <c r="K674" s="5"/>
      <c r="L674" s="5"/>
      <c r="M674" s="28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29"/>
      <c r="K675" s="5"/>
      <c r="L675" s="5"/>
      <c r="M675" s="28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29"/>
      <c r="K676" s="5"/>
      <c r="L676" s="5"/>
      <c r="M676" s="28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29"/>
      <c r="K677" s="5"/>
      <c r="L677" s="5"/>
      <c r="M677" s="28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29"/>
      <c r="K678" s="5"/>
      <c r="L678" s="5"/>
      <c r="M678" s="28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29"/>
      <c r="K679" s="5"/>
      <c r="L679" s="5"/>
      <c r="M679" s="28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29"/>
      <c r="K680" s="5"/>
      <c r="L680" s="5"/>
      <c r="M680" s="28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29"/>
      <c r="K681" s="5"/>
      <c r="L681" s="5"/>
      <c r="M681" s="28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29"/>
      <c r="K682" s="5"/>
      <c r="L682" s="5"/>
      <c r="M682" s="28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29"/>
      <c r="K683" s="5"/>
      <c r="L683" s="5"/>
      <c r="M683" s="28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29"/>
      <c r="K684" s="5"/>
      <c r="L684" s="5"/>
      <c r="M684" s="28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29"/>
      <c r="K685" s="5"/>
      <c r="L685" s="5"/>
      <c r="M685" s="28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29"/>
      <c r="K686" s="5"/>
      <c r="L686" s="5"/>
      <c r="M686" s="28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29"/>
      <c r="K687" s="5"/>
      <c r="L687" s="5"/>
      <c r="M687" s="28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29"/>
      <c r="K688" s="5"/>
      <c r="L688" s="5"/>
      <c r="M688" s="28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29"/>
      <c r="K689" s="5"/>
      <c r="L689" s="5"/>
      <c r="M689" s="28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29"/>
      <c r="K690" s="5"/>
      <c r="L690" s="5"/>
      <c r="M690" s="28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29"/>
      <c r="K691" s="5"/>
      <c r="L691" s="5"/>
      <c r="M691" s="28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29"/>
      <c r="K692" s="5"/>
      <c r="L692" s="5"/>
      <c r="M692" s="28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29"/>
      <c r="K693" s="5"/>
      <c r="L693" s="5"/>
      <c r="M693" s="28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29"/>
      <c r="K694" s="5"/>
      <c r="L694" s="5"/>
      <c r="M694" s="28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29"/>
      <c r="K695" s="5"/>
      <c r="L695" s="5"/>
      <c r="M695" s="28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29"/>
      <c r="K696" s="5"/>
      <c r="L696" s="5"/>
      <c r="M696" s="28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29"/>
      <c r="K697" s="5"/>
      <c r="L697" s="5"/>
      <c r="M697" s="28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29"/>
      <c r="K698" s="5"/>
      <c r="L698" s="5"/>
      <c r="M698" s="28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29"/>
      <c r="K699" s="5"/>
      <c r="L699" s="5"/>
      <c r="M699" s="28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29"/>
      <c r="K700" s="5"/>
      <c r="L700" s="5"/>
      <c r="M700" s="28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29"/>
      <c r="K701" s="5"/>
      <c r="L701" s="5"/>
      <c r="M701" s="28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29"/>
      <c r="K702" s="5"/>
      <c r="L702" s="5"/>
      <c r="M702" s="28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29"/>
      <c r="K703" s="5"/>
      <c r="L703" s="5"/>
      <c r="M703" s="28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29"/>
      <c r="K704" s="5"/>
      <c r="L704" s="5"/>
      <c r="M704" s="28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29"/>
      <c r="K705" s="5"/>
      <c r="L705" s="5"/>
      <c r="M705" s="28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29"/>
      <c r="K706" s="5"/>
      <c r="L706" s="5"/>
      <c r="M706" s="28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29"/>
      <c r="K707" s="5"/>
      <c r="L707" s="5"/>
      <c r="M707" s="28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29"/>
      <c r="K708" s="5"/>
      <c r="L708" s="5"/>
      <c r="M708" s="28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29"/>
      <c r="K709" s="5"/>
      <c r="L709" s="5"/>
      <c r="M709" s="28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29"/>
      <c r="K710" s="5"/>
      <c r="L710" s="5"/>
      <c r="M710" s="28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29"/>
      <c r="K711" s="5"/>
      <c r="L711" s="5"/>
      <c r="M711" s="28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29"/>
      <c r="K712" s="5"/>
      <c r="L712" s="5"/>
      <c r="M712" s="28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29"/>
      <c r="K713" s="5"/>
      <c r="L713" s="5"/>
      <c r="M713" s="28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29"/>
      <c r="K714" s="5"/>
      <c r="L714" s="5"/>
      <c r="M714" s="28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29"/>
      <c r="K715" s="5"/>
      <c r="L715" s="5"/>
      <c r="M715" s="28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29"/>
      <c r="K716" s="5"/>
      <c r="L716" s="5"/>
      <c r="M716" s="28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29"/>
      <c r="K717" s="5"/>
      <c r="L717" s="5"/>
      <c r="M717" s="28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29"/>
      <c r="K718" s="5"/>
      <c r="L718" s="5"/>
      <c r="M718" s="28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29"/>
      <c r="K719" s="5"/>
      <c r="L719" s="5"/>
      <c r="M719" s="28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29"/>
      <c r="K720" s="5"/>
      <c r="L720" s="5"/>
      <c r="M720" s="28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29"/>
      <c r="K721" s="5"/>
      <c r="L721" s="5"/>
      <c r="M721" s="28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29"/>
      <c r="K722" s="5"/>
      <c r="L722" s="5"/>
      <c r="M722" s="28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29"/>
      <c r="K723" s="5"/>
      <c r="L723" s="5"/>
      <c r="M723" s="28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29"/>
      <c r="K724" s="5"/>
      <c r="L724" s="5"/>
      <c r="M724" s="28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29"/>
      <c r="K725" s="5"/>
      <c r="L725" s="5"/>
      <c r="M725" s="28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29"/>
      <c r="K726" s="5"/>
      <c r="L726" s="5"/>
      <c r="M726" s="28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29"/>
      <c r="K727" s="5"/>
      <c r="L727" s="5"/>
      <c r="M727" s="28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29"/>
      <c r="K728" s="5"/>
      <c r="L728" s="5"/>
      <c r="M728" s="28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29"/>
      <c r="K729" s="5"/>
      <c r="L729" s="5"/>
      <c r="M729" s="28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29"/>
      <c r="K730" s="5"/>
      <c r="L730" s="5"/>
      <c r="M730" s="28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29"/>
      <c r="K731" s="5"/>
      <c r="L731" s="5"/>
      <c r="M731" s="28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29"/>
      <c r="K732" s="5"/>
      <c r="L732" s="5"/>
      <c r="M732" s="28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29"/>
      <c r="K733" s="5"/>
      <c r="L733" s="5"/>
      <c r="M733" s="28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29"/>
      <c r="K734" s="5"/>
      <c r="L734" s="5"/>
      <c r="M734" s="28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29"/>
      <c r="K735" s="5"/>
      <c r="L735" s="5"/>
      <c r="M735" s="28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29"/>
      <c r="K736" s="5"/>
      <c r="L736" s="5"/>
      <c r="M736" s="28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29"/>
      <c r="K737" s="5"/>
      <c r="L737" s="5"/>
      <c r="M737" s="28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29"/>
      <c r="K738" s="5"/>
      <c r="L738" s="5"/>
      <c r="M738" s="28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29"/>
      <c r="K739" s="5"/>
      <c r="L739" s="5"/>
      <c r="M739" s="28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29"/>
      <c r="K740" s="5"/>
      <c r="L740" s="5"/>
      <c r="M740" s="28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29"/>
      <c r="K741" s="5"/>
      <c r="L741" s="5"/>
      <c r="M741" s="28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29"/>
      <c r="K742" s="5"/>
      <c r="L742" s="5"/>
      <c r="M742" s="28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29"/>
      <c r="K743" s="5"/>
      <c r="L743" s="5"/>
      <c r="M743" s="28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29"/>
      <c r="K744" s="5"/>
      <c r="L744" s="5"/>
      <c r="M744" s="28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29"/>
      <c r="K745" s="5"/>
      <c r="L745" s="5"/>
      <c r="M745" s="28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29"/>
      <c r="K746" s="5"/>
      <c r="L746" s="5"/>
      <c r="M746" s="28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29"/>
      <c r="K747" s="5"/>
      <c r="L747" s="5"/>
      <c r="M747" s="28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29"/>
      <c r="K748" s="5"/>
      <c r="L748" s="5"/>
      <c r="M748" s="28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29"/>
      <c r="K749" s="5"/>
      <c r="L749" s="5"/>
      <c r="M749" s="28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29"/>
      <c r="K750" s="5"/>
      <c r="L750" s="5"/>
      <c r="M750" s="28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29"/>
      <c r="K751" s="5"/>
      <c r="L751" s="5"/>
      <c r="M751" s="28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29"/>
      <c r="K752" s="5"/>
      <c r="L752" s="5"/>
      <c r="M752" s="28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29"/>
      <c r="K753" s="5"/>
      <c r="L753" s="5"/>
      <c r="M753" s="28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29"/>
      <c r="K754" s="5"/>
      <c r="L754" s="5"/>
      <c r="M754" s="28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29"/>
      <c r="K755" s="5"/>
      <c r="L755" s="5"/>
      <c r="M755" s="28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29"/>
      <c r="K756" s="5"/>
      <c r="L756" s="5"/>
      <c r="M756" s="28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29"/>
      <c r="K757" s="5"/>
      <c r="L757" s="5"/>
      <c r="M757" s="28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29"/>
      <c r="K758" s="5"/>
      <c r="L758" s="5"/>
      <c r="M758" s="28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29"/>
      <c r="K759" s="5"/>
      <c r="L759" s="5"/>
      <c r="M759" s="28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29"/>
      <c r="K760" s="5"/>
      <c r="L760" s="5"/>
      <c r="M760" s="28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29"/>
      <c r="K761" s="5"/>
      <c r="L761" s="5"/>
      <c r="M761" s="28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29"/>
      <c r="K762" s="5"/>
      <c r="L762" s="5"/>
      <c r="M762" s="28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29"/>
      <c r="K763" s="5"/>
      <c r="L763" s="5"/>
      <c r="M763" s="28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29"/>
      <c r="K764" s="5"/>
      <c r="L764" s="5"/>
      <c r="M764" s="28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29"/>
      <c r="K765" s="5"/>
      <c r="L765" s="5"/>
      <c r="M765" s="28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29"/>
      <c r="K766" s="5"/>
      <c r="L766" s="5"/>
      <c r="M766" s="28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29"/>
      <c r="K767" s="5"/>
      <c r="L767" s="5"/>
      <c r="M767" s="28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29"/>
      <c r="K768" s="5"/>
      <c r="L768" s="5"/>
      <c r="M768" s="28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29"/>
      <c r="K769" s="5"/>
      <c r="L769" s="5"/>
      <c r="M769" s="28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29"/>
      <c r="K770" s="5"/>
      <c r="L770" s="5"/>
      <c r="M770" s="28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29"/>
      <c r="K771" s="5"/>
      <c r="L771" s="5"/>
      <c r="M771" s="28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29"/>
      <c r="K772" s="5"/>
      <c r="L772" s="5"/>
      <c r="M772" s="28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29"/>
      <c r="K773" s="5"/>
      <c r="L773" s="5"/>
      <c r="M773" s="28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29"/>
      <c r="K774" s="5"/>
      <c r="L774" s="5"/>
      <c r="M774" s="28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29"/>
      <c r="K775" s="5"/>
      <c r="L775" s="5"/>
      <c r="M775" s="28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29"/>
      <c r="K776" s="5"/>
      <c r="L776" s="5"/>
      <c r="M776" s="28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29"/>
      <c r="K777" s="5"/>
      <c r="L777" s="5"/>
      <c r="M777" s="28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29"/>
      <c r="K778" s="5"/>
      <c r="L778" s="5"/>
      <c r="M778" s="28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29"/>
      <c r="K779" s="5"/>
      <c r="L779" s="5"/>
      <c r="M779" s="28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29"/>
      <c r="K780" s="5"/>
      <c r="L780" s="5"/>
      <c r="M780" s="28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29"/>
      <c r="K781" s="5"/>
      <c r="L781" s="5"/>
      <c r="M781" s="28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29"/>
      <c r="K782" s="5"/>
      <c r="L782" s="5"/>
      <c r="M782" s="28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29"/>
      <c r="K783" s="5"/>
      <c r="L783" s="5"/>
      <c r="M783" s="28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29"/>
      <c r="K784" s="5"/>
      <c r="L784" s="5"/>
      <c r="M784" s="28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29"/>
      <c r="K785" s="5"/>
      <c r="L785" s="5"/>
      <c r="M785" s="28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29"/>
      <c r="K786" s="5"/>
      <c r="L786" s="5"/>
      <c r="M786" s="28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29"/>
      <c r="K787" s="5"/>
      <c r="L787" s="5"/>
      <c r="M787" s="28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29"/>
      <c r="K788" s="5"/>
      <c r="L788" s="5"/>
      <c r="M788" s="28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29"/>
      <c r="K789" s="5"/>
      <c r="L789" s="5"/>
      <c r="M789" s="28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29"/>
      <c r="K790" s="5"/>
      <c r="L790" s="5"/>
      <c r="M790" s="28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29"/>
      <c r="K791" s="5"/>
      <c r="L791" s="5"/>
      <c r="M791" s="28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29"/>
      <c r="K792" s="5"/>
      <c r="L792" s="5"/>
      <c r="M792" s="28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29"/>
      <c r="K793" s="5"/>
      <c r="L793" s="5"/>
      <c r="M793" s="28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29"/>
      <c r="K794" s="5"/>
      <c r="L794" s="5"/>
      <c r="M794" s="28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29"/>
      <c r="K795" s="5"/>
      <c r="L795" s="5"/>
      <c r="M795" s="28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29"/>
      <c r="K796" s="5"/>
      <c r="L796" s="5"/>
      <c r="M796" s="28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29"/>
      <c r="K797" s="5"/>
      <c r="L797" s="5"/>
      <c r="M797" s="28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29"/>
      <c r="K798" s="5"/>
      <c r="L798" s="5"/>
      <c r="M798" s="28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29"/>
      <c r="K799" s="5"/>
      <c r="L799" s="5"/>
      <c r="M799" s="28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29"/>
      <c r="K800" s="5"/>
      <c r="L800" s="5"/>
      <c r="M800" s="28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29"/>
      <c r="K801" s="5"/>
      <c r="L801" s="5"/>
      <c r="M801" s="28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29"/>
      <c r="K802" s="5"/>
      <c r="L802" s="5"/>
      <c r="M802" s="28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29"/>
      <c r="K803" s="5"/>
      <c r="L803" s="5"/>
      <c r="M803" s="28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29"/>
      <c r="K804" s="5"/>
      <c r="L804" s="5"/>
      <c r="M804" s="28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29"/>
      <c r="K805" s="5"/>
      <c r="L805" s="5"/>
      <c r="M805" s="28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29"/>
      <c r="K806" s="5"/>
      <c r="L806" s="5"/>
      <c r="M806" s="28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29"/>
      <c r="K807" s="5"/>
      <c r="L807" s="5"/>
      <c r="M807" s="28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29"/>
      <c r="K808" s="5"/>
      <c r="L808" s="5"/>
      <c r="M808" s="28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29"/>
      <c r="K809" s="5"/>
      <c r="L809" s="5"/>
      <c r="M809" s="28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29"/>
      <c r="K810" s="5"/>
      <c r="L810" s="5"/>
      <c r="M810" s="28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29"/>
      <c r="K811" s="5"/>
      <c r="L811" s="5"/>
      <c r="M811" s="28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29"/>
      <c r="K812" s="5"/>
      <c r="L812" s="5"/>
      <c r="M812" s="28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29"/>
      <c r="K813" s="5"/>
      <c r="L813" s="5"/>
      <c r="M813" s="28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29"/>
      <c r="K814" s="5"/>
      <c r="L814" s="5"/>
      <c r="M814" s="28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29"/>
      <c r="K815" s="5"/>
      <c r="L815" s="5"/>
      <c r="M815" s="28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29"/>
      <c r="K816" s="5"/>
      <c r="L816" s="5"/>
      <c r="M816" s="28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29"/>
      <c r="K817" s="5"/>
      <c r="L817" s="5"/>
      <c r="M817" s="28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29"/>
      <c r="K818" s="5"/>
      <c r="L818" s="5"/>
      <c r="M818" s="28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29"/>
      <c r="K819" s="5"/>
      <c r="L819" s="5"/>
      <c r="M819" s="28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29"/>
      <c r="K820" s="5"/>
      <c r="L820" s="5"/>
      <c r="M820" s="28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29"/>
      <c r="K821" s="5"/>
      <c r="L821" s="5"/>
      <c r="M821" s="28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29"/>
      <c r="K822" s="5"/>
      <c r="L822" s="5"/>
      <c r="M822" s="28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29"/>
      <c r="K823" s="5"/>
      <c r="L823" s="5"/>
      <c r="M823" s="28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29"/>
      <c r="K824" s="5"/>
      <c r="L824" s="5"/>
      <c r="M824" s="28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29"/>
      <c r="K825" s="5"/>
      <c r="L825" s="5"/>
      <c r="M825" s="28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29"/>
      <c r="K826" s="5"/>
      <c r="L826" s="5"/>
      <c r="M826" s="28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29"/>
      <c r="K827" s="5"/>
      <c r="L827" s="5"/>
      <c r="M827" s="28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29"/>
      <c r="K828" s="5"/>
      <c r="L828" s="5"/>
      <c r="M828" s="28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29"/>
      <c r="K829" s="5"/>
      <c r="L829" s="5"/>
      <c r="M829" s="28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29"/>
      <c r="K830" s="5"/>
      <c r="L830" s="5"/>
      <c r="M830" s="28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29"/>
      <c r="K831" s="5"/>
      <c r="L831" s="5"/>
      <c r="M831" s="28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29"/>
      <c r="K832" s="5"/>
      <c r="L832" s="5"/>
      <c r="M832" s="28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29"/>
      <c r="K833" s="5"/>
      <c r="L833" s="5"/>
      <c r="M833" s="28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29"/>
      <c r="K834" s="5"/>
      <c r="L834" s="5"/>
      <c r="M834" s="28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29"/>
      <c r="K835" s="5"/>
      <c r="L835" s="5"/>
      <c r="M835" s="28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29"/>
      <c r="K836" s="5"/>
      <c r="L836" s="5"/>
      <c r="M836" s="28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29"/>
      <c r="K837" s="5"/>
      <c r="L837" s="5"/>
      <c r="M837" s="28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29"/>
      <c r="K838" s="5"/>
      <c r="L838" s="5"/>
      <c r="M838" s="28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29"/>
      <c r="K839" s="5"/>
      <c r="L839" s="5"/>
      <c r="M839" s="28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29"/>
      <c r="K840" s="5"/>
      <c r="L840" s="5"/>
      <c r="M840" s="28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29"/>
      <c r="K841" s="5"/>
      <c r="L841" s="5"/>
      <c r="M841" s="28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29"/>
      <c r="K842" s="5"/>
      <c r="L842" s="5"/>
      <c r="M842" s="28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29"/>
      <c r="K843" s="5"/>
      <c r="L843" s="5"/>
      <c r="M843" s="28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29"/>
      <c r="K844" s="5"/>
      <c r="L844" s="5"/>
      <c r="M844" s="28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29"/>
      <c r="K845" s="5"/>
      <c r="L845" s="5"/>
      <c r="M845" s="28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29"/>
      <c r="K846" s="5"/>
      <c r="L846" s="5"/>
      <c r="M846" s="28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29"/>
      <c r="K847" s="5"/>
      <c r="L847" s="5"/>
      <c r="M847" s="28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29"/>
      <c r="K848" s="5"/>
      <c r="L848" s="5"/>
      <c r="M848" s="28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29"/>
      <c r="K849" s="5"/>
      <c r="L849" s="5"/>
      <c r="M849" s="28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29"/>
      <c r="K850" s="5"/>
      <c r="L850" s="5"/>
      <c r="M850" s="28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29"/>
      <c r="K851" s="5"/>
      <c r="L851" s="5"/>
      <c r="M851" s="28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29"/>
      <c r="K852" s="5"/>
      <c r="L852" s="5"/>
      <c r="M852" s="28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29"/>
      <c r="K853" s="5"/>
      <c r="L853" s="5"/>
      <c r="M853" s="28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29"/>
      <c r="K854" s="5"/>
      <c r="L854" s="5"/>
      <c r="M854" s="28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29"/>
      <c r="K855" s="5"/>
      <c r="L855" s="5"/>
      <c r="M855" s="28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29"/>
      <c r="K856" s="5"/>
      <c r="L856" s="5"/>
      <c r="M856" s="28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29"/>
      <c r="K857" s="5"/>
      <c r="L857" s="5"/>
      <c r="M857" s="28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29"/>
      <c r="K858" s="5"/>
      <c r="L858" s="5"/>
      <c r="M858" s="28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29"/>
      <c r="K859" s="5"/>
      <c r="L859" s="5"/>
      <c r="M859" s="28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29"/>
      <c r="K860" s="5"/>
      <c r="L860" s="5"/>
      <c r="M860" s="28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29"/>
      <c r="K861" s="5"/>
      <c r="L861" s="5"/>
      <c r="M861" s="28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29"/>
      <c r="K862" s="5"/>
      <c r="L862" s="5"/>
      <c r="M862" s="28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29"/>
      <c r="K863" s="5"/>
      <c r="L863" s="5"/>
      <c r="M863" s="28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29"/>
      <c r="K864" s="5"/>
      <c r="L864" s="5"/>
      <c r="M864" s="28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29"/>
      <c r="K865" s="5"/>
      <c r="L865" s="5"/>
      <c r="M865" s="28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29"/>
      <c r="K866" s="5"/>
      <c r="L866" s="5"/>
      <c r="M866" s="28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29"/>
      <c r="K867" s="5"/>
      <c r="L867" s="5"/>
      <c r="M867" s="28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29"/>
      <c r="K868" s="5"/>
      <c r="L868" s="5"/>
      <c r="M868" s="28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29"/>
      <c r="K869" s="5"/>
      <c r="L869" s="5"/>
      <c r="M869" s="28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29"/>
      <c r="K870" s="5"/>
      <c r="L870" s="5"/>
      <c r="M870" s="28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29"/>
      <c r="K871" s="5"/>
      <c r="L871" s="5"/>
      <c r="M871" s="28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29"/>
      <c r="K872" s="5"/>
      <c r="L872" s="5"/>
      <c r="M872" s="28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29"/>
      <c r="K873" s="5"/>
      <c r="L873" s="5"/>
      <c r="M873" s="28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29"/>
      <c r="K874" s="5"/>
      <c r="L874" s="5"/>
      <c r="M874" s="28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29"/>
      <c r="K875" s="5"/>
      <c r="L875" s="5"/>
      <c r="M875" s="28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29"/>
      <c r="K876" s="5"/>
      <c r="L876" s="5"/>
      <c r="M876" s="28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29"/>
      <c r="K877" s="5"/>
      <c r="L877" s="5"/>
      <c r="M877" s="28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29"/>
      <c r="K878" s="5"/>
      <c r="L878" s="5"/>
      <c r="M878" s="28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29"/>
      <c r="K879" s="5"/>
      <c r="L879" s="5"/>
      <c r="M879" s="28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29"/>
      <c r="K880" s="5"/>
      <c r="L880" s="5"/>
      <c r="M880" s="28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29"/>
      <c r="K881" s="5"/>
      <c r="L881" s="5"/>
      <c r="M881" s="28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29"/>
      <c r="K882" s="5"/>
      <c r="L882" s="5"/>
      <c r="M882" s="28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29"/>
      <c r="K883" s="5"/>
      <c r="L883" s="5"/>
      <c r="M883" s="28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29"/>
      <c r="K884" s="5"/>
      <c r="L884" s="5"/>
      <c r="M884" s="28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29"/>
      <c r="K885" s="5"/>
      <c r="L885" s="5"/>
      <c r="M885" s="28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29"/>
      <c r="K886" s="5"/>
      <c r="L886" s="5"/>
      <c r="M886" s="28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29"/>
      <c r="K887" s="5"/>
      <c r="L887" s="5"/>
      <c r="M887" s="28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29"/>
      <c r="K888" s="5"/>
      <c r="L888" s="5"/>
      <c r="M888" s="28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29"/>
      <c r="K889" s="5"/>
      <c r="L889" s="5"/>
      <c r="M889" s="28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29"/>
      <c r="K890" s="5"/>
      <c r="L890" s="5"/>
      <c r="M890" s="28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29"/>
      <c r="K891" s="5"/>
      <c r="L891" s="5"/>
      <c r="M891" s="28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29"/>
      <c r="K892" s="5"/>
      <c r="L892" s="5"/>
      <c r="M892" s="28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29"/>
      <c r="K893" s="5"/>
      <c r="L893" s="5"/>
      <c r="M893" s="28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29"/>
      <c r="K894" s="5"/>
      <c r="L894" s="5"/>
      <c r="M894" s="28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29"/>
      <c r="K895" s="5"/>
      <c r="L895" s="5"/>
      <c r="M895" s="28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29"/>
      <c r="K896" s="5"/>
      <c r="L896" s="5"/>
      <c r="M896" s="28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29"/>
      <c r="K897" s="5"/>
      <c r="L897" s="5"/>
      <c r="M897" s="28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29"/>
      <c r="K898" s="5"/>
      <c r="L898" s="5"/>
      <c r="M898" s="28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29"/>
      <c r="K899" s="5"/>
      <c r="L899" s="5"/>
      <c r="M899" s="28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29"/>
      <c r="K900" s="5"/>
      <c r="L900" s="5"/>
      <c r="M900" s="28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29"/>
      <c r="K901" s="5"/>
      <c r="L901" s="5"/>
      <c r="M901" s="28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29"/>
      <c r="K902" s="5"/>
      <c r="L902" s="5"/>
      <c r="M902" s="28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29"/>
      <c r="K903" s="5"/>
      <c r="L903" s="5"/>
      <c r="M903" s="28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29"/>
      <c r="K904" s="5"/>
      <c r="L904" s="5"/>
      <c r="M904" s="28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29"/>
      <c r="K905" s="5"/>
      <c r="L905" s="5"/>
      <c r="M905" s="28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29"/>
      <c r="K906" s="5"/>
      <c r="L906" s="5"/>
      <c r="M906" s="28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29"/>
      <c r="K907" s="5"/>
      <c r="L907" s="5"/>
      <c r="M907" s="28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29"/>
      <c r="K908" s="5"/>
      <c r="L908" s="5"/>
      <c r="M908" s="28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29"/>
      <c r="K909" s="5"/>
      <c r="L909" s="5"/>
      <c r="M909" s="28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29"/>
      <c r="K910" s="5"/>
      <c r="L910" s="5"/>
      <c r="M910" s="28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29"/>
      <c r="K911" s="5"/>
      <c r="L911" s="5"/>
      <c r="M911" s="28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29"/>
      <c r="K912" s="5"/>
      <c r="L912" s="5"/>
      <c r="M912" s="28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29"/>
      <c r="K913" s="5"/>
      <c r="L913" s="5"/>
      <c r="M913" s="28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29"/>
      <c r="K914" s="5"/>
      <c r="L914" s="5"/>
      <c r="M914" s="28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29"/>
      <c r="K915" s="5"/>
      <c r="L915" s="5"/>
      <c r="M915" s="28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29"/>
      <c r="K916" s="5"/>
      <c r="L916" s="5"/>
      <c r="M916" s="28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29"/>
      <c r="K917" s="5"/>
      <c r="L917" s="5"/>
      <c r="M917" s="28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29"/>
      <c r="K918" s="5"/>
      <c r="L918" s="5"/>
      <c r="M918" s="28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29"/>
      <c r="K919" s="5"/>
      <c r="L919" s="5"/>
      <c r="M919" s="28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29"/>
      <c r="K920" s="5"/>
      <c r="L920" s="5"/>
      <c r="M920" s="28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29"/>
      <c r="K921" s="5"/>
      <c r="L921" s="5"/>
      <c r="M921" s="28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29"/>
      <c r="K922" s="5"/>
      <c r="L922" s="5"/>
      <c r="M922" s="28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29"/>
      <c r="K923" s="5"/>
      <c r="L923" s="5"/>
      <c r="M923" s="28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29"/>
      <c r="K924" s="5"/>
      <c r="L924" s="5"/>
      <c r="M924" s="28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29"/>
      <c r="K925" s="5"/>
      <c r="L925" s="5"/>
      <c r="M925" s="28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29"/>
      <c r="K926" s="5"/>
      <c r="L926" s="5"/>
      <c r="M926" s="28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29"/>
      <c r="K927" s="5"/>
      <c r="L927" s="5"/>
      <c r="M927" s="28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29"/>
      <c r="K928" s="5"/>
      <c r="L928" s="5"/>
      <c r="M928" s="28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29"/>
      <c r="K929" s="5"/>
      <c r="L929" s="5"/>
      <c r="M929" s="28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29"/>
      <c r="K930" s="5"/>
      <c r="L930" s="5"/>
      <c r="M930" s="28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29"/>
      <c r="K931" s="5"/>
      <c r="L931" s="5"/>
      <c r="M931" s="28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29"/>
      <c r="K932" s="5"/>
      <c r="L932" s="5"/>
      <c r="M932" s="28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29"/>
      <c r="K933" s="5"/>
      <c r="L933" s="5"/>
      <c r="M933" s="28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29"/>
      <c r="K934" s="5"/>
      <c r="L934" s="5"/>
      <c r="M934" s="28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29"/>
      <c r="K935" s="5"/>
      <c r="L935" s="5"/>
      <c r="M935" s="28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29"/>
      <c r="K936" s="5"/>
      <c r="L936" s="5"/>
      <c r="M936" s="28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29"/>
      <c r="K937" s="5"/>
      <c r="L937" s="5"/>
      <c r="M937" s="28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29"/>
      <c r="K938" s="5"/>
      <c r="L938" s="5"/>
      <c r="M938" s="28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29"/>
      <c r="K939" s="5"/>
      <c r="L939" s="5"/>
      <c r="M939" s="28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29"/>
      <c r="K940" s="5"/>
      <c r="L940" s="5"/>
      <c r="M940" s="28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29"/>
      <c r="K941" s="5"/>
      <c r="L941" s="5"/>
      <c r="M941" s="28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29"/>
      <c r="K942" s="5"/>
      <c r="L942" s="5"/>
      <c r="M942" s="28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29"/>
      <c r="K943" s="5"/>
      <c r="L943" s="5"/>
      <c r="M943" s="28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29"/>
      <c r="K944" s="5"/>
      <c r="L944" s="5"/>
      <c r="M944" s="28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29"/>
      <c r="K945" s="5"/>
      <c r="L945" s="5"/>
      <c r="M945" s="28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29"/>
      <c r="K946" s="5"/>
      <c r="L946" s="5"/>
      <c r="M946" s="28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29"/>
      <c r="K947" s="5"/>
      <c r="L947" s="5"/>
      <c r="M947" s="28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29"/>
      <c r="K948" s="5"/>
      <c r="L948" s="5"/>
      <c r="M948" s="28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29"/>
      <c r="K949" s="5"/>
      <c r="L949" s="5"/>
      <c r="M949" s="28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29"/>
      <c r="K950" s="5"/>
      <c r="L950" s="5"/>
      <c r="M950" s="28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29"/>
      <c r="K951" s="5"/>
      <c r="L951" s="5"/>
      <c r="M951" s="28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29"/>
      <c r="K952" s="5"/>
      <c r="L952" s="5"/>
      <c r="M952" s="28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29"/>
      <c r="K953" s="5"/>
      <c r="L953" s="5"/>
      <c r="M953" s="28"/>
      <c r="N953" s="5"/>
      <c r="O953" s="5"/>
      <c r="P953" s="5"/>
      <c r="Q953" s="5"/>
      <c r="R953" s="5"/>
      <c r="S953" s="5"/>
      <c r="T953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88"/>
    <col customWidth="1" min="3" max="3" width="50.25"/>
    <col customWidth="1" min="4" max="4" width="16.25"/>
    <col customWidth="1" min="6" max="6" width="14.38"/>
  </cols>
  <sheetData>
    <row r="1">
      <c r="A1" s="30" t="s">
        <v>37</v>
      </c>
      <c r="B1" s="30" t="s">
        <v>672</v>
      </c>
      <c r="C1" s="30" t="s">
        <v>673</v>
      </c>
      <c r="D1" s="31" t="s">
        <v>674</v>
      </c>
      <c r="E1" s="30" t="s">
        <v>675</v>
      </c>
    </row>
    <row r="2">
      <c r="A2" s="3" t="s">
        <v>676</v>
      </c>
      <c r="B2" s="2" t="s">
        <v>677</v>
      </c>
      <c r="C2" s="2" t="s">
        <v>678</v>
      </c>
      <c r="D2" s="32">
        <v>7.22343E7</v>
      </c>
      <c r="E2" s="3" t="s">
        <v>679</v>
      </c>
      <c r="F2" s="33">
        <f>D2/12</f>
        <v>6019525</v>
      </c>
    </row>
    <row r="3">
      <c r="A3" s="3" t="s">
        <v>680</v>
      </c>
      <c r="B3" s="1" t="s">
        <v>681</v>
      </c>
      <c r="C3" s="1" t="s">
        <v>682</v>
      </c>
      <c r="D3" s="32">
        <v>1.5E7</v>
      </c>
      <c r="E3" s="3" t="s">
        <v>683</v>
      </c>
      <c r="F3" s="33">
        <f>D3/6</f>
        <v>2500000</v>
      </c>
    </row>
    <row r="4">
      <c r="A4" s="3" t="s">
        <v>684</v>
      </c>
      <c r="B4" s="1" t="s">
        <v>685</v>
      </c>
      <c r="C4" s="1" t="s">
        <v>686</v>
      </c>
      <c r="D4" s="32">
        <v>3687500.0</v>
      </c>
      <c r="E4" s="3" t="s">
        <v>687</v>
      </c>
      <c r="F4" s="33">
        <f t="shared" ref="F4:F35" si="1">D4/12</f>
        <v>307291.6667</v>
      </c>
    </row>
    <row r="5">
      <c r="A5" s="3" t="s">
        <v>688</v>
      </c>
      <c r="B5" s="1" t="s">
        <v>689</v>
      </c>
      <c r="C5" s="1" t="s">
        <v>690</v>
      </c>
      <c r="D5" s="32">
        <v>2.7E7</v>
      </c>
      <c r="E5" s="3" t="s">
        <v>687</v>
      </c>
      <c r="F5" s="33">
        <f t="shared" si="1"/>
        <v>2250000</v>
      </c>
    </row>
    <row r="6">
      <c r="A6" s="3" t="s">
        <v>691</v>
      </c>
      <c r="B6" s="1" t="s">
        <v>692</v>
      </c>
      <c r="C6" s="1" t="s">
        <v>693</v>
      </c>
      <c r="D6" s="32">
        <v>1000000.0</v>
      </c>
      <c r="E6" s="3" t="s">
        <v>687</v>
      </c>
      <c r="F6" s="33">
        <f t="shared" si="1"/>
        <v>83333.33333</v>
      </c>
    </row>
    <row r="7">
      <c r="A7" s="3" t="s">
        <v>694</v>
      </c>
      <c r="B7" s="34" t="s">
        <v>695</v>
      </c>
      <c r="C7" s="1" t="s">
        <v>696</v>
      </c>
      <c r="D7" s="32">
        <v>1.1477648E7</v>
      </c>
      <c r="E7" s="3" t="s">
        <v>687</v>
      </c>
      <c r="F7" s="33">
        <f t="shared" si="1"/>
        <v>956470.6667</v>
      </c>
    </row>
    <row r="8">
      <c r="A8" s="3" t="s">
        <v>697</v>
      </c>
      <c r="B8" s="1" t="s">
        <v>698</v>
      </c>
      <c r="C8" s="1" t="s">
        <v>699</v>
      </c>
      <c r="D8" s="32">
        <v>200000.0</v>
      </c>
      <c r="E8" s="3" t="s">
        <v>687</v>
      </c>
      <c r="F8" s="33">
        <f t="shared" si="1"/>
        <v>16666.66667</v>
      </c>
    </row>
    <row r="9">
      <c r="A9" s="3" t="s">
        <v>700</v>
      </c>
      <c r="B9" s="1" t="s">
        <v>701</v>
      </c>
      <c r="C9" s="1" t="s">
        <v>702</v>
      </c>
      <c r="D9" s="32">
        <v>1.4124E7</v>
      </c>
      <c r="E9" s="3" t="s">
        <v>687</v>
      </c>
      <c r="F9" s="33">
        <f t="shared" si="1"/>
        <v>1177000</v>
      </c>
    </row>
    <row r="10">
      <c r="A10" s="3" t="s">
        <v>703</v>
      </c>
      <c r="B10" s="1" t="s">
        <v>704</v>
      </c>
      <c r="C10" s="1" t="s">
        <v>705</v>
      </c>
      <c r="D10" s="35">
        <v>2.7436785E7</v>
      </c>
      <c r="E10" s="3" t="s">
        <v>687</v>
      </c>
      <c r="F10" s="33">
        <f t="shared" si="1"/>
        <v>2286398.75</v>
      </c>
    </row>
    <row r="11">
      <c r="A11" s="3" t="s">
        <v>706</v>
      </c>
      <c r="B11" s="1" t="s">
        <v>707</v>
      </c>
      <c r="C11" s="1" t="s">
        <v>708</v>
      </c>
      <c r="D11" s="35">
        <v>1500000.0</v>
      </c>
      <c r="E11" s="3" t="s">
        <v>687</v>
      </c>
      <c r="F11" s="33">
        <f t="shared" si="1"/>
        <v>125000</v>
      </c>
    </row>
    <row r="12">
      <c r="A12" s="3" t="s">
        <v>709</v>
      </c>
      <c r="B12" s="1" t="s">
        <v>710</v>
      </c>
      <c r="C12" s="1" t="s">
        <v>711</v>
      </c>
      <c r="D12" s="35">
        <v>2.5E7</v>
      </c>
      <c r="E12" s="3" t="s">
        <v>687</v>
      </c>
      <c r="F12" s="33">
        <f t="shared" si="1"/>
        <v>2083333.333</v>
      </c>
    </row>
    <row r="13">
      <c r="A13" s="3" t="s">
        <v>712</v>
      </c>
      <c r="B13" s="1" t="s">
        <v>713</v>
      </c>
      <c r="C13" s="1" t="s">
        <v>714</v>
      </c>
      <c r="D13" s="35">
        <v>7500000.0</v>
      </c>
      <c r="E13" s="3" t="s">
        <v>687</v>
      </c>
      <c r="F13" s="33">
        <f t="shared" si="1"/>
        <v>625000</v>
      </c>
    </row>
    <row r="14">
      <c r="A14" s="3" t="s">
        <v>715</v>
      </c>
      <c r="B14" s="1" t="s">
        <v>716</v>
      </c>
      <c r="C14" s="1" t="s">
        <v>717</v>
      </c>
      <c r="D14" s="36">
        <v>1000000.0</v>
      </c>
      <c r="E14" s="3" t="s">
        <v>687</v>
      </c>
      <c r="F14" s="33">
        <f t="shared" si="1"/>
        <v>83333.33333</v>
      </c>
    </row>
    <row r="15">
      <c r="A15" s="3" t="s">
        <v>718</v>
      </c>
      <c r="B15" s="1" t="s">
        <v>719</v>
      </c>
      <c r="C15" s="1" t="s">
        <v>720</v>
      </c>
      <c r="D15" s="36">
        <v>4.29E7</v>
      </c>
      <c r="E15" s="3" t="s">
        <v>687</v>
      </c>
      <c r="F15" s="33">
        <f t="shared" si="1"/>
        <v>3575000</v>
      </c>
    </row>
    <row r="16">
      <c r="A16" s="3" t="s">
        <v>721</v>
      </c>
      <c r="B16" s="1" t="s">
        <v>722</v>
      </c>
      <c r="C16" s="1" t="s">
        <v>723</v>
      </c>
      <c r="D16" s="36">
        <v>2222500.0</v>
      </c>
      <c r="E16" s="3" t="s">
        <v>687</v>
      </c>
      <c r="F16" s="33">
        <f t="shared" si="1"/>
        <v>185208.3333</v>
      </c>
    </row>
    <row r="17">
      <c r="A17" s="3" t="s">
        <v>724</v>
      </c>
      <c r="B17" s="1" t="s">
        <v>725</v>
      </c>
      <c r="C17" s="1" t="s">
        <v>726</v>
      </c>
      <c r="D17" s="36">
        <v>2.4E7</v>
      </c>
      <c r="E17" s="3" t="s">
        <v>687</v>
      </c>
      <c r="F17" s="33">
        <f t="shared" si="1"/>
        <v>2000000</v>
      </c>
    </row>
    <row r="18">
      <c r="A18" s="3" t="s">
        <v>727</v>
      </c>
      <c r="B18" s="1" t="s">
        <v>728</v>
      </c>
      <c r="C18" s="1" t="s">
        <v>729</v>
      </c>
      <c r="D18" s="36">
        <v>0.0</v>
      </c>
      <c r="E18" s="3" t="s">
        <v>687</v>
      </c>
      <c r="F18" s="33">
        <f t="shared" si="1"/>
        <v>0</v>
      </c>
    </row>
    <row r="19">
      <c r="A19" s="3" t="s">
        <v>730</v>
      </c>
      <c r="B19" s="1" t="s">
        <v>731</v>
      </c>
      <c r="C19" s="1" t="s">
        <v>732</v>
      </c>
      <c r="D19" s="36">
        <f>2200000*12</f>
        <v>26400000</v>
      </c>
      <c r="E19" s="3" t="s">
        <v>687</v>
      </c>
      <c r="F19" s="33">
        <f t="shared" si="1"/>
        <v>2200000</v>
      </c>
    </row>
    <row r="20">
      <c r="A20" s="3" t="s">
        <v>733</v>
      </c>
      <c r="B20" s="1" t="s">
        <v>734</v>
      </c>
      <c r="C20" s="1" t="s">
        <v>735</v>
      </c>
      <c r="D20" s="36">
        <v>3000000.0</v>
      </c>
      <c r="E20" s="3" t="s">
        <v>687</v>
      </c>
      <c r="F20" s="33">
        <f t="shared" si="1"/>
        <v>250000</v>
      </c>
    </row>
    <row r="21">
      <c r="A21" s="3" t="s">
        <v>736</v>
      </c>
      <c r="B21" s="1" t="s">
        <v>737</v>
      </c>
      <c r="C21" s="1" t="s">
        <v>738</v>
      </c>
      <c r="D21" s="36">
        <v>4000000.0</v>
      </c>
      <c r="E21" s="3" t="s">
        <v>687</v>
      </c>
      <c r="F21" s="33">
        <f t="shared" si="1"/>
        <v>333333.3333</v>
      </c>
    </row>
    <row r="22">
      <c r="A22" s="3" t="s">
        <v>739</v>
      </c>
      <c r="B22" s="1" t="s">
        <v>740</v>
      </c>
      <c r="C22" s="1" t="s">
        <v>741</v>
      </c>
      <c r="D22" s="37">
        <v>2.8101476920000005E8</v>
      </c>
      <c r="E22" s="3" t="s">
        <v>687</v>
      </c>
      <c r="F22" s="38">
        <f t="shared" si="1"/>
        <v>23417897.43</v>
      </c>
    </row>
    <row r="23">
      <c r="A23" s="3" t="s">
        <v>742</v>
      </c>
      <c r="B23" s="1" t="s">
        <v>743</v>
      </c>
      <c r="C23" s="1" t="s">
        <v>744</v>
      </c>
      <c r="D23" s="37">
        <v>1.81923885E8</v>
      </c>
      <c r="E23" s="3" t="s">
        <v>687</v>
      </c>
      <c r="F23" s="38">
        <f t="shared" si="1"/>
        <v>15160323.75</v>
      </c>
    </row>
    <row r="24">
      <c r="A24" s="3" t="s">
        <v>745</v>
      </c>
      <c r="B24" s="1" t="s">
        <v>746</v>
      </c>
      <c r="C24" s="1" t="s">
        <v>747</v>
      </c>
      <c r="D24" s="36">
        <f>4000000*12</f>
        <v>48000000</v>
      </c>
      <c r="E24" s="3" t="s">
        <v>687</v>
      </c>
      <c r="F24" s="33">
        <f t="shared" si="1"/>
        <v>4000000</v>
      </c>
    </row>
    <row r="25">
      <c r="A25" s="3" t="s">
        <v>748</v>
      </c>
      <c r="B25" s="1" t="s">
        <v>749</v>
      </c>
      <c r="C25" s="1" t="s">
        <v>750</v>
      </c>
      <c r="D25" s="36">
        <v>2000000.0</v>
      </c>
      <c r="E25" s="3" t="s">
        <v>687</v>
      </c>
      <c r="F25" s="33">
        <f t="shared" si="1"/>
        <v>166666.6667</v>
      </c>
    </row>
    <row r="26">
      <c r="A26" s="3" t="s">
        <v>751</v>
      </c>
      <c r="B26" s="1" t="s">
        <v>752</v>
      </c>
      <c r="C26" s="1" t="s">
        <v>753</v>
      </c>
      <c r="D26" s="36">
        <v>4500000.0</v>
      </c>
      <c r="E26" s="3" t="s">
        <v>687</v>
      </c>
      <c r="F26" s="33">
        <f t="shared" si="1"/>
        <v>375000</v>
      </c>
    </row>
    <row r="27">
      <c r="A27" s="3" t="s">
        <v>754</v>
      </c>
      <c r="B27" s="1" t="s">
        <v>755</v>
      </c>
      <c r="C27" s="1" t="s">
        <v>756</v>
      </c>
      <c r="D27" s="36">
        <v>9527796.0</v>
      </c>
      <c r="E27" s="3" t="s">
        <v>687</v>
      </c>
      <c r="F27" s="33">
        <f t="shared" si="1"/>
        <v>793983</v>
      </c>
    </row>
    <row r="28">
      <c r="A28" s="3" t="s">
        <v>757</v>
      </c>
      <c r="B28" s="1" t="s">
        <v>758</v>
      </c>
      <c r="C28" s="1" t="s">
        <v>759</v>
      </c>
      <c r="D28" s="36">
        <v>4.69484E7</v>
      </c>
      <c r="E28" s="3" t="s">
        <v>687</v>
      </c>
      <c r="F28" s="33">
        <f t="shared" si="1"/>
        <v>3912366.667</v>
      </c>
    </row>
    <row r="29">
      <c r="A29" s="3" t="s">
        <v>760</v>
      </c>
      <c r="B29" s="1" t="s">
        <v>761</v>
      </c>
      <c r="C29" s="1" t="s">
        <v>762</v>
      </c>
      <c r="D29" s="36">
        <v>3.396517E7</v>
      </c>
      <c r="E29" s="3" t="s">
        <v>687</v>
      </c>
      <c r="F29" s="33">
        <f t="shared" si="1"/>
        <v>2830430.833</v>
      </c>
    </row>
    <row r="30">
      <c r="A30" s="3" t="s">
        <v>763</v>
      </c>
      <c r="B30" s="1" t="s">
        <v>764</v>
      </c>
      <c r="C30" s="2" t="s">
        <v>765</v>
      </c>
      <c r="D30" s="36">
        <f>'Investasi Unit'!B6</f>
        <v>49990000</v>
      </c>
      <c r="E30" s="3" t="s">
        <v>766</v>
      </c>
      <c r="F30" s="33">
        <f t="shared" si="1"/>
        <v>4165833.333</v>
      </c>
    </row>
    <row r="31">
      <c r="A31" s="3" t="s">
        <v>767</v>
      </c>
      <c r="B31" s="1" t="s">
        <v>768</v>
      </c>
      <c r="C31" s="2" t="s">
        <v>769</v>
      </c>
      <c r="D31" s="36">
        <f>'Investasi Unit'!B7</f>
        <v>168039000</v>
      </c>
      <c r="E31" s="3" t="s">
        <v>766</v>
      </c>
      <c r="F31" s="33">
        <f t="shared" si="1"/>
        <v>14003250</v>
      </c>
    </row>
    <row r="32">
      <c r="A32" s="3" t="s">
        <v>770</v>
      </c>
      <c r="B32" s="1" t="s">
        <v>771</v>
      </c>
      <c r="C32" s="2" t="s">
        <v>772</v>
      </c>
      <c r="D32" s="36">
        <f>'Investasi Unit'!B9+'Investasi Unit'!B10</f>
        <v>167385900</v>
      </c>
      <c r="E32" s="3" t="s">
        <v>766</v>
      </c>
      <c r="F32" s="33">
        <f t="shared" si="1"/>
        <v>13948825</v>
      </c>
    </row>
    <row r="33">
      <c r="A33" s="3" t="s">
        <v>773</v>
      </c>
      <c r="B33" s="1" t="s">
        <v>774</v>
      </c>
      <c r="C33" s="2" t="s">
        <v>775</v>
      </c>
      <c r="D33" s="39">
        <f>'Investasi Unit'!B8</f>
        <v>121240000</v>
      </c>
      <c r="E33" s="3" t="s">
        <v>766</v>
      </c>
      <c r="F33" s="33">
        <f t="shared" si="1"/>
        <v>10103333.33</v>
      </c>
    </row>
    <row r="34">
      <c r="A34" s="3" t="s">
        <v>776</v>
      </c>
      <c r="B34" s="1" t="s">
        <v>777</v>
      </c>
      <c r="C34" s="2" t="s">
        <v>778</v>
      </c>
      <c r="D34" s="36">
        <f>'Investasi Unit'!B3+'Investasi Unit'!B4+'Investasi Unit'!B5+'Investasi Unit'!B11</f>
        <v>72071000</v>
      </c>
      <c r="E34" s="3" t="s">
        <v>766</v>
      </c>
      <c r="F34" s="33">
        <f t="shared" si="1"/>
        <v>6005916.667</v>
      </c>
    </row>
    <row r="35">
      <c r="A35" s="3" t="s">
        <v>779</v>
      </c>
      <c r="B35" s="2" t="s">
        <v>780</v>
      </c>
      <c r="C35" s="3" t="s">
        <v>781</v>
      </c>
      <c r="D35" s="40">
        <f>'Rincian Anggaran'!Q4</f>
        <v>122910000</v>
      </c>
      <c r="E35" s="3" t="s">
        <v>766</v>
      </c>
      <c r="F35" s="38">
        <f t="shared" si="1"/>
        <v>10242500</v>
      </c>
    </row>
    <row r="36">
      <c r="D36" s="39"/>
    </row>
    <row r="37">
      <c r="D37" s="39"/>
    </row>
    <row r="38">
      <c r="D38" s="39"/>
    </row>
    <row r="39">
      <c r="D39" s="39"/>
    </row>
    <row r="40">
      <c r="D40" s="39"/>
    </row>
    <row r="41">
      <c r="D41" s="39"/>
    </row>
    <row r="42">
      <c r="D42" s="39"/>
    </row>
    <row r="43">
      <c r="D43" s="39"/>
    </row>
    <row r="44">
      <c r="D44" s="39"/>
    </row>
    <row r="45">
      <c r="D45" s="39"/>
    </row>
    <row r="46">
      <c r="D46" s="39"/>
    </row>
    <row r="47">
      <c r="D47" s="39"/>
    </row>
    <row r="48">
      <c r="D48" s="39"/>
    </row>
    <row r="49">
      <c r="D49" s="39"/>
    </row>
    <row r="50">
      <c r="D50" s="39"/>
    </row>
    <row r="51">
      <c r="D51" s="39"/>
    </row>
    <row r="52">
      <c r="D52" s="39"/>
    </row>
    <row r="53">
      <c r="D53" s="39"/>
    </row>
    <row r="54">
      <c r="D54" s="39"/>
    </row>
    <row r="55">
      <c r="D55" s="39"/>
    </row>
    <row r="56">
      <c r="D56" s="39"/>
    </row>
    <row r="57">
      <c r="D57" s="39"/>
    </row>
    <row r="58">
      <c r="D58" s="39"/>
    </row>
    <row r="59">
      <c r="D59" s="39"/>
    </row>
    <row r="60">
      <c r="D60" s="39"/>
    </row>
    <row r="61">
      <c r="D61" s="39"/>
    </row>
    <row r="62">
      <c r="D62" s="39"/>
    </row>
    <row r="63">
      <c r="D63" s="39"/>
    </row>
    <row r="64">
      <c r="D64" s="39"/>
    </row>
    <row r="65">
      <c r="D65" s="39"/>
    </row>
    <row r="66">
      <c r="D66" s="39"/>
    </row>
    <row r="67">
      <c r="D67" s="39"/>
    </row>
    <row r="68">
      <c r="D68" s="39"/>
    </row>
    <row r="69">
      <c r="D69" s="39"/>
    </row>
    <row r="70">
      <c r="D70" s="39"/>
    </row>
    <row r="71">
      <c r="D71" s="39"/>
    </row>
    <row r="72">
      <c r="D72" s="39"/>
    </row>
    <row r="73">
      <c r="D73" s="39"/>
    </row>
    <row r="74">
      <c r="D74" s="39"/>
    </row>
    <row r="75">
      <c r="D75" s="39"/>
    </row>
    <row r="76">
      <c r="D76" s="39"/>
    </row>
    <row r="77">
      <c r="D77" s="39"/>
    </row>
    <row r="78">
      <c r="D78" s="39"/>
    </row>
    <row r="79">
      <c r="D79" s="39"/>
    </row>
    <row r="80">
      <c r="D80" s="39"/>
    </row>
    <row r="81">
      <c r="D81" s="39"/>
    </row>
    <row r="82">
      <c r="D82" s="39"/>
    </row>
    <row r="83">
      <c r="D83" s="39"/>
    </row>
    <row r="84">
      <c r="D84" s="39"/>
    </row>
    <row r="85">
      <c r="D85" s="39"/>
    </row>
    <row r="86">
      <c r="D86" s="39"/>
    </row>
    <row r="87">
      <c r="D87" s="39"/>
    </row>
    <row r="88">
      <c r="D88" s="39"/>
    </row>
    <row r="89">
      <c r="D89" s="39"/>
    </row>
    <row r="90">
      <c r="D90" s="39"/>
    </row>
    <row r="91">
      <c r="D91" s="39"/>
    </row>
    <row r="92">
      <c r="D92" s="39"/>
    </row>
    <row r="93">
      <c r="D93" s="39"/>
    </row>
    <row r="94">
      <c r="D94" s="39"/>
    </row>
    <row r="95">
      <c r="D95" s="39"/>
    </row>
    <row r="96">
      <c r="D96" s="39"/>
    </row>
    <row r="97">
      <c r="D97" s="39"/>
    </row>
    <row r="98">
      <c r="D98" s="39"/>
    </row>
    <row r="99">
      <c r="D99" s="39"/>
    </row>
    <row r="100">
      <c r="D100" s="39"/>
    </row>
    <row r="101">
      <c r="D101" s="39"/>
    </row>
    <row r="102">
      <c r="D102" s="39"/>
    </row>
    <row r="103">
      <c r="D103" s="39"/>
    </row>
    <row r="104">
      <c r="D104" s="39"/>
    </row>
    <row r="105">
      <c r="D105" s="39"/>
    </row>
    <row r="106">
      <c r="D106" s="39"/>
    </row>
    <row r="107">
      <c r="D107" s="39"/>
    </row>
    <row r="108">
      <c r="D108" s="39"/>
    </row>
    <row r="109">
      <c r="D109" s="39"/>
    </row>
    <row r="110">
      <c r="D110" s="39"/>
    </row>
    <row r="111">
      <c r="D111" s="39"/>
    </row>
    <row r="112">
      <c r="D112" s="39"/>
    </row>
    <row r="113">
      <c r="D113" s="39"/>
    </row>
    <row r="114">
      <c r="D114" s="39"/>
    </row>
    <row r="115">
      <c r="D115" s="39"/>
    </row>
    <row r="116">
      <c r="D116" s="39"/>
    </row>
    <row r="117">
      <c r="D117" s="39"/>
    </row>
    <row r="118">
      <c r="D118" s="39"/>
    </row>
    <row r="119">
      <c r="D119" s="39"/>
    </row>
    <row r="120">
      <c r="D120" s="39"/>
    </row>
    <row r="121">
      <c r="D121" s="39"/>
    </row>
    <row r="122">
      <c r="D122" s="39"/>
    </row>
    <row r="123">
      <c r="D123" s="39"/>
    </row>
    <row r="124">
      <c r="D124" s="39"/>
    </row>
    <row r="125">
      <c r="D125" s="39"/>
    </row>
    <row r="126">
      <c r="D126" s="39"/>
    </row>
    <row r="127">
      <c r="D127" s="39"/>
    </row>
    <row r="128">
      <c r="D128" s="39"/>
    </row>
    <row r="129">
      <c r="D129" s="39"/>
    </row>
    <row r="130">
      <c r="D130" s="39"/>
    </row>
    <row r="131">
      <c r="D131" s="39"/>
    </row>
    <row r="132">
      <c r="D132" s="39"/>
    </row>
    <row r="133">
      <c r="D133" s="39"/>
    </row>
    <row r="134">
      <c r="D134" s="39"/>
    </row>
    <row r="135">
      <c r="D135" s="39"/>
    </row>
    <row r="136">
      <c r="D136" s="39"/>
    </row>
    <row r="137">
      <c r="D137" s="39"/>
    </row>
    <row r="138">
      <c r="D138" s="39"/>
    </row>
    <row r="139">
      <c r="D139" s="39"/>
    </row>
    <row r="140">
      <c r="D140" s="39"/>
    </row>
    <row r="141">
      <c r="D141" s="39"/>
    </row>
    <row r="142">
      <c r="D142" s="39"/>
    </row>
    <row r="143">
      <c r="D143" s="39"/>
    </row>
    <row r="144">
      <c r="D144" s="39"/>
    </row>
    <row r="145">
      <c r="D145" s="39"/>
    </row>
    <row r="146">
      <c r="D146" s="39"/>
    </row>
    <row r="147">
      <c r="D147" s="39"/>
    </row>
    <row r="148">
      <c r="D148" s="39"/>
    </row>
    <row r="149">
      <c r="D149" s="39"/>
    </row>
    <row r="150">
      <c r="D150" s="39"/>
    </row>
    <row r="151">
      <c r="D151" s="39"/>
    </row>
    <row r="152">
      <c r="D152" s="39"/>
    </row>
    <row r="153">
      <c r="D153" s="39"/>
    </row>
    <row r="154">
      <c r="D154" s="39"/>
    </row>
    <row r="155">
      <c r="D155" s="39"/>
    </row>
    <row r="156">
      <c r="D156" s="39"/>
    </row>
    <row r="157">
      <c r="D157" s="39"/>
    </row>
    <row r="158">
      <c r="D158" s="39"/>
    </row>
    <row r="159">
      <c r="D159" s="39"/>
    </row>
    <row r="160">
      <c r="D160" s="39"/>
    </row>
    <row r="161">
      <c r="D161" s="39"/>
    </row>
    <row r="162">
      <c r="D162" s="39"/>
    </row>
    <row r="163">
      <c r="D163" s="39"/>
    </row>
    <row r="164">
      <c r="D164" s="39"/>
    </row>
    <row r="165">
      <c r="D165" s="39"/>
    </row>
    <row r="166">
      <c r="D166" s="39"/>
    </row>
    <row r="167">
      <c r="D167" s="39"/>
    </row>
    <row r="168">
      <c r="D168" s="39"/>
    </row>
    <row r="169">
      <c r="D169" s="39"/>
    </row>
    <row r="170">
      <c r="D170" s="39"/>
    </row>
    <row r="171">
      <c r="D171" s="39"/>
    </row>
    <row r="172">
      <c r="D172" s="39"/>
    </row>
    <row r="173">
      <c r="D173" s="39"/>
    </row>
    <row r="174">
      <c r="D174" s="39"/>
    </row>
    <row r="175">
      <c r="D175" s="39"/>
    </row>
    <row r="176">
      <c r="D176" s="39"/>
    </row>
    <row r="177">
      <c r="D177" s="39"/>
    </row>
    <row r="178">
      <c r="D178" s="39"/>
    </row>
    <row r="179">
      <c r="D179" s="39"/>
    </row>
    <row r="180">
      <c r="D180" s="39"/>
    </row>
    <row r="181">
      <c r="D181" s="39"/>
    </row>
    <row r="182">
      <c r="D182" s="39"/>
    </row>
    <row r="183">
      <c r="D183" s="39"/>
    </row>
    <row r="184">
      <c r="D184" s="39"/>
    </row>
    <row r="185">
      <c r="D185" s="39"/>
    </row>
    <row r="186">
      <c r="D186" s="39"/>
    </row>
    <row r="187">
      <c r="D187" s="39"/>
    </row>
    <row r="188">
      <c r="D188" s="39"/>
    </row>
    <row r="189">
      <c r="D189" s="39"/>
    </row>
    <row r="190">
      <c r="D190" s="39"/>
    </row>
    <row r="191">
      <c r="D191" s="39"/>
    </row>
    <row r="192">
      <c r="D192" s="39"/>
    </row>
    <row r="193">
      <c r="D193" s="39"/>
    </row>
    <row r="194">
      <c r="D194" s="39"/>
    </row>
    <row r="195">
      <c r="D195" s="39"/>
    </row>
    <row r="196">
      <c r="D196" s="39"/>
    </row>
    <row r="197">
      <c r="D197" s="39"/>
    </row>
    <row r="198">
      <c r="D198" s="39"/>
    </row>
    <row r="199">
      <c r="D199" s="39"/>
    </row>
    <row r="200">
      <c r="D200" s="39"/>
    </row>
    <row r="201">
      <c r="D201" s="39"/>
    </row>
    <row r="202">
      <c r="D202" s="39"/>
    </row>
    <row r="203">
      <c r="D203" s="39"/>
    </row>
    <row r="204">
      <c r="D204" s="39"/>
    </row>
    <row r="205">
      <c r="D205" s="39"/>
    </row>
    <row r="206">
      <c r="D206" s="39"/>
    </row>
    <row r="207">
      <c r="D207" s="39"/>
    </row>
    <row r="208">
      <c r="D208" s="39"/>
    </row>
    <row r="209">
      <c r="D209" s="39"/>
    </row>
    <row r="210">
      <c r="D210" s="39"/>
    </row>
    <row r="211">
      <c r="D211" s="39"/>
    </row>
    <row r="212">
      <c r="D212" s="39"/>
    </row>
    <row r="213">
      <c r="D213" s="39"/>
    </row>
    <row r="214">
      <c r="D214" s="39"/>
    </row>
    <row r="215">
      <c r="D215" s="39"/>
    </row>
    <row r="216">
      <c r="D216" s="39"/>
    </row>
    <row r="217">
      <c r="D217" s="39"/>
    </row>
    <row r="218">
      <c r="D218" s="39"/>
    </row>
    <row r="219">
      <c r="D219" s="39"/>
    </row>
    <row r="220">
      <c r="D220" s="39"/>
    </row>
    <row r="221">
      <c r="D221" s="39"/>
    </row>
    <row r="222">
      <c r="D222" s="39"/>
    </row>
    <row r="223">
      <c r="D223" s="39"/>
    </row>
    <row r="224">
      <c r="D224" s="39"/>
    </row>
    <row r="225">
      <c r="D225" s="39"/>
    </row>
    <row r="226">
      <c r="D226" s="39"/>
    </row>
    <row r="227">
      <c r="D227" s="39"/>
    </row>
    <row r="228">
      <c r="D228" s="39"/>
    </row>
    <row r="229">
      <c r="D229" s="39"/>
    </row>
    <row r="230">
      <c r="D230" s="39"/>
    </row>
    <row r="231">
      <c r="D231" s="39"/>
    </row>
    <row r="232">
      <c r="D232" s="39"/>
    </row>
    <row r="233">
      <c r="D233" s="39"/>
    </row>
    <row r="234">
      <c r="D234" s="39"/>
    </row>
    <row r="235">
      <c r="D235" s="39"/>
    </row>
    <row r="236">
      <c r="D236" s="39"/>
    </row>
    <row r="237">
      <c r="D237" s="39"/>
    </row>
    <row r="238">
      <c r="D238" s="39"/>
    </row>
    <row r="239">
      <c r="D239" s="39"/>
    </row>
    <row r="240">
      <c r="D240" s="39"/>
    </row>
    <row r="241">
      <c r="D241" s="39"/>
    </row>
    <row r="242">
      <c r="D242" s="39"/>
    </row>
    <row r="243">
      <c r="D243" s="39"/>
    </row>
    <row r="244">
      <c r="D244" s="39"/>
    </row>
    <row r="245">
      <c r="D245" s="39"/>
    </row>
    <row r="246">
      <c r="D246" s="39"/>
    </row>
    <row r="247">
      <c r="D247" s="39"/>
    </row>
    <row r="248">
      <c r="D248" s="39"/>
    </row>
    <row r="249">
      <c r="D249" s="39"/>
    </row>
    <row r="250">
      <c r="D250" s="39"/>
    </row>
    <row r="251">
      <c r="D251" s="39"/>
    </row>
    <row r="252">
      <c r="D252" s="39"/>
    </row>
    <row r="253">
      <c r="D253" s="39"/>
    </row>
    <row r="254">
      <c r="D254" s="39"/>
    </row>
    <row r="255">
      <c r="D255" s="39"/>
    </row>
    <row r="256">
      <c r="D256" s="39"/>
    </row>
    <row r="257">
      <c r="D257" s="39"/>
    </row>
    <row r="258">
      <c r="D258" s="39"/>
    </row>
    <row r="259">
      <c r="D259" s="39"/>
    </row>
    <row r="260">
      <c r="D260" s="39"/>
    </row>
    <row r="261">
      <c r="D261" s="39"/>
    </row>
    <row r="262">
      <c r="D262" s="39"/>
    </row>
    <row r="263">
      <c r="D263" s="39"/>
    </row>
    <row r="264">
      <c r="D264" s="39"/>
    </row>
    <row r="265">
      <c r="D265" s="39"/>
    </row>
    <row r="266">
      <c r="D266" s="39"/>
    </row>
    <row r="267">
      <c r="D267" s="39"/>
    </row>
    <row r="268">
      <c r="D268" s="39"/>
    </row>
    <row r="269">
      <c r="D269" s="39"/>
    </row>
    <row r="270">
      <c r="D270" s="39"/>
    </row>
    <row r="271">
      <c r="D271" s="39"/>
    </row>
    <row r="272">
      <c r="D272" s="39"/>
    </row>
    <row r="273">
      <c r="D273" s="39"/>
    </row>
    <row r="274">
      <c r="D274" s="39"/>
    </row>
    <row r="275">
      <c r="D275" s="39"/>
    </row>
    <row r="276">
      <c r="D276" s="39"/>
    </row>
    <row r="277">
      <c r="D277" s="39"/>
    </row>
    <row r="278">
      <c r="D278" s="39"/>
    </row>
    <row r="279">
      <c r="D279" s="39"/>
    </row>
    <row r="280">
      <c r="D280" s="39"/>
    </row>
    <row r="281">
      <c r="D281" s="39"/>
    </row>
    <row r="282">
      <c r="D282" s="39"/>
    </row>
    <row r="283">
      <c r="D283" s="39"/>
    </row>
    <row r="284">
      <c r="D284" s="39"/>
    </row>
    <row r="285">
      <c r="D285" s="39"/>
    </row>
    <row r="286">
      <c r="D286" s="39"/>
    </row>
    <row r="287">
      <c r="D287" s="39"/>
    </row>
    <row r="288">
      <c r="D288" s="39"/>
    </row>
    <row r="289">
      <c r="D289" s="39"/>
    </row>
    <row r="290">
      <c r="D290" s="39"/>
    </row>
    <row r="291">
      <c r="D291" s="39"/>
    </row>
    <row r="292">
      <c r="D292" s="39"/>
    </row>
    <row r="293">
      <c r="D293" s="39"/>
    </row>
    <row r="294">
      <c r="D294" s="39"/>
    </row>
    <row r="295">
      <c r="D295" s="39"/>
    </row>
    <row r="296">
      <c r="D296" s="39"/>
    </row>
    <row r="297">
      <c r="D297" s="39"/>
    </row>
    <row r="298">
      <c r="D298" s="39"/>
    </row>
    <row r="299">
      <c r="D299" s="39"/>
    </row>
    <row r="300">
      <c r="D300" s="39"/>
    </row>
    <row r="301">
      <c r="D301" s="39"/>
    </row>
    <row r="302">
      <c r="D302" s="39"/>
    </row>
    <row r="303">
      <c r="D303" s="39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0"/>
  </cols>
  <sheetData>
    <row r="1">
      <c r="A1" s="41" t="str">
        <f>IFERROR(__xludf.DUMMYFUNCTION("QUERY(ProgramKerja!A:M, ""SELECT G, SUM(J) GROUP BY G LABEL SUM(J) 'Total Pengeluaran'"", 1)"),"Unit")</f>
        <v>Unit</v>
      </c>
      <c r="B1" s="41" t="str">
        <f>IFERROR(__xludf.DUMMYFUNCTION("""COMPUTED_VALUE"""),"Total Pengeluaran")</f>
        <v>Total Pengeluaran</v>
      </c>
    </row>
    <row r="2">
      <c r="A2" s="42"/>
      <c r="B2" s="42"/>
    </row>
    <row r="3">
      <c r="A3" s="43" t="str">
        <f>IFERROR(__xludf.DUMMYFUNCTION("""COMPUTED_VALUE"""),"Ecopark")</f>
        <v>Ecopark</v>
      </c>
      <c r="B3" s="44">
        <f>IFERROR(__xludf.DUMMYFUNCTION("""COMPUTED_VALUE"""),2.291E7)</f>
        <v>22910000</v>
      </c>
    </row>
    <row r="4">
      <c r="A4" s="43" t="str">
        <f>IFERROR(__xludf.DUMMYFUNCTION("""COMPUTED_VALUE"""),"Litbang dan SMM")</f>
        <v>Litbang dan SMM</v>
      </c>
      <c r="B4" s="44">
        <f>IFERROR(__xludf.DUMMYFUNCTION("""COMPUTED_VALUE"""),1.435E7)</f>
        <v>14350000</v>
      </c>
    </row>
    <row r="5">
      <c r="A5" s="43" t="str">
        <f>IFERROR(__xludf.DUMMYFUNCTION("""COMPUTED_VALUE"""),"Marketing")</f>
        <v>Marketing</v>
      </c>
      <c r="B5" s="44">
        <f>IFERROR(__xludf.DUMMYFUNCTION("""COMPUTED_VALUE"""),408000.0)</f>
        <v>408000</v>
      </c>
    </row>
    <row r="6">
      <c r="A6" s="43" t="str">
        <f>IFERROR(__xludf.DUMMYFUNCTION("""COMPUTED_VALUE"""),"PGTK")</f>
        <v>PGTK</v>
      </c>
      <c r="B6" s="44">
        <f>IFERROR(__xludf.DUMMYFUNCTION("""COMPUTED_VALUE"""),4.999E7)</f>
        <v>49990000</v>
      </c>
    </row>
    <row r="7">
      <c r="A7" s="43" t="str">
        <f>IFERROR(__xludf.DUMMYFUNCTION("""COMPUTED_VALUE"""),"SD")</f>
        <v>SD</v>
      </c>
      <c r="B7" s="44">
        <f>IFERROR(__xludf.DUMMYFUNCTION("""COMPUTED_VALUE"""),1.68039E8)</f>
        <v>168039000</v>
      </c>
    </row>
    <row r="8">
      <c r="A8" s="43" t="str">
        <f>IFERROR(__xludf.DUMMYFUNCTION("""COMPUTED_VALUE"""),"SMA")</f>
        <v>SMA</v>
      </c>
      <c r="B8" s="44">
        <f>IFERROR(__xludf.DUMMYFUNCTION("""COMPUTED_VALUE"""),1.2124E8)</f>
        <v>121240000</v>
      </c>
    </row>
    <row r="9">
      <c r="A9" s="43" t="str">
        <f>IFERROR(__xludf.DUMMYFUNCTION("""COMPUTED_VALUE"""),"SMP")</f>
        <v>SMP</v>
      </c>
      <c r="B9" s="44">
        <f>IFERROR(__xludf.DUMMYFUNCTION("""COMPUTED_VALUE"""),1.673859E8)</f>
        <v>167385900</v>
      </c>
    </row>
    <row r="10">
      <c r="A10" s="43" t="str">
        <f>IFERROR(__xludf.DUMMYFUNCTION("""COMPUTED_VALUE"""),"SMP &amp; SMA")</f>
        <v>SMP &amp; SMA</v>
      </c>
      <c r="B10" s="44">
        <f>IFERROR(__xludf.DUMMYFUNCTION("""COMPUTED_VALUE"""),0.0)</f>
        <v>0</v>
      </c>
    </row>
    <row r="11">
      <c r="A11" s="43" t="str">
        <f>IFERROR(__xludf.DUMMYFUNCTION("""COMPUTED_VALUE"""),"Umum")</f>
        <v>Umum</v>
      </c>
      <c r="B11" s="44">
        <f>IFERROR(__xludf.DUMMYFUNCTION("""COMPUTED_VALUE"""),3.4403E7)</f>
        <v>34403000</v>
      </c>
    </row>
    <row r="12" ht="8.25" customHeight="1"/>
    <row r="13">
      <c r="A13" s="45" t="s">
        <v>782</v>
      </c>
      <c r="B13" s="46">
        <f>SUM(B3:B11)</f>
        <v>578725900</v>
      </c>
    </row>
    <row r="14">
      <c r="B14" s="38">
        <f>'Rincian Anggaran'!Q4</f>
        <v>122910000</v>
      </c>
    </row>
    <row r="15">
      <c r="B15" s="33">
        <f>B13+B14</f>
        <v>701635900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hidden="1" min="2" max="15" width="12.63"/>
  </cols>
  <sheetData>
    <row r="1">
      <c r="B1" s="47">
        <v>45863.0</v>
      </c>
      <c r="C1" s="48">
        <v>45894.0</v>
      </c>
      <c r="D1" s="47">
        <v>45925.0</v>
      </c>
      <c r="E1" s="48">
        <v>45955.0</v>
      </c>
      <c r="F1" s="47">
        <v>45986.0</v>
      </c>
      <c r="G1" s="48">
        <v>46016.0</v>
      </c>
      <c r="H1" s="47">
        <v>46047.0</v>
      </c>
      <c r="I1" s="48">
        <v>46078.0</v>
      </c>
      <c r="J1" s="47">
        <v>46106.0</v>
      </c>
      <c r="K1" s="48">
        <v>46137.0</v>
      </c>
      <c r="L1" s="47">
        <v>46167.0</v>
      </c>
      <c r="M1" s="48">
        <v>46198.0</v>
      </c>
      <c r="N1" s="3" t="s">
        <v>783</v>
      </c>
      <c r="O1" s="49">
        <f>10%</f>
        <v>0.1</v>
      </c>
      <c r="P1" s="3" t="s">
        <v>79</v>
      </c>
      <c r="Q1" s="3" t="s">
        <v>82</v>
      </c>
    </row>
    <row r="2">
      <c r="A2" s="3" t="s">
        <v>784</v>
      </c>
      <c r="B2" s="50">
        <v>4380000.0</v>
      </c>
      <c r="C2" s="50">
        <v>4380000.0</v>
      </c>
      <c r="D2" s="50">
        <v>4380000.0</v>
      </c>
      <c r="E2" s="50">
        <v>4380000.0</v>
      </c>
      <c r="F2" s="50">
        <v>4380000.0</v>
      </c>
      <c r="G2" s="50">
        <v>4380000.0</v>
      </c>
      <c r="H2" s="50">
        <v>4380000.0</v>
      </c>
      <c r="I2" s="50">
        <v>4380000.0</v>
      </c>
      <c r="J2" s="50">
        <v>4380000.0</v>
      </c>
      <c r="K2" s="50">
        <v>4380000.0</v>
      </c>
      <c r="L2" s="50">
        <v>4380000.0</v>
      </c>
      <c r="M2" s="50">
        <v>4380000.0</v>
      </c>
      <c r="N2" s="38">
        <f t="shared" ref="N2:N3" si="1">AVERAGE(B2:M2)</f>
        <v>4380000</v>
      </c>
      <c r="P2" s="38">
        <f t="shared" ref="P2:P3" si="2">N2+O2</f>
        <v>4380000</v>
      </c>
      <c r="Q2" s="38">
        <f>P2*12</f>
        <v>52560000</v>
      </c>
    </row>
    <row r="3">
      <c r="A3" s="3" t="s">
        <v>785</v>
      </c>
      <c r="B3" s="50">
        <v>1.407E7</v>
      </c>
      <c r="C3" s="50">
        <v>1.407E7</v>
      </c>
      <c r="D3" s="50">
        <v>1.407E7</v>
      </c>
      <c r="E3" s="50">
        <v>1.407E7</v>
      </c>
      <c r="F3" s="50">
        <v>1.407E7</v>
      </c>
      <c r="G3" s="38"/>
      <c r="H3" s="38"/>
      <c r="I3" s="38"/>
      <c r="J3" s="38"/>
      <c r="K3" s="38"/>
      <c r="L3" s="38"/>
      <c r="M3" s="38"/>
      <c r="N3" s="38">
        <f t="shared" si="1"/>
        <v>14070000</v>
      </c>
      <c r="P3" s="38">
        <f t="shared" si="2"/>
        <v>14070000</v>
      </c>
      <c r="Q3" s="38">
        <f>P3*5</f>
        <v>70350000</v>
      </c>
    </row>
    <row r="4">
      <c r="A4" s="3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Q4" s="38">
        <f>SUM(Q2:Q3)</f>
        <v>122910000</v>
      </c>
    </row>
    <row r="5">
      <c r="A5" s="3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>
      <c r="A6" s="3" t="s">
        <v>786</v>
      </c>
      <c r="B6" s="51">
        <v>7317760.0</v>
      </c>
      <c r="C6" s="51">
        <v>7635769.0</v>
      </c>
      <c r="D6" s="51">
        <v>1.1584789E7</v>
      </c>
      <c r="E6" s="51">
        <v>1.1287222E7</v>
      </c>
      <c r="F6" s="51">
        <v>1.4344049E7</v>
      </c>
      <c r="G6" s="51">
        <v>1.2517488E7</v>
      </c>
      <c r="H6" s="51">
        <v>7381538.0</v>
      </c>
      <c r="I6" s="51">
        <v>9948957.0</v>
      </c>
      <c r="J6" s="51">
        <v>1.0705359E7</v>
      </c>
      <c r="K6" s="51">
        <v>7317760.0</v>
      </c>
      <c r="L6" s="51">
        <v>9632479.0</v>
      </c>
      <c r="M6" s="51">
        <v>1.0654831E7</v>
      </c>
      <c r="N6" s="52">
        <f t="shared" ref="N6:N16" si="3">AVERAGE(B6:M6)</f>
        <v>10027333.42</v>
      </c>
      <c r="O6" s="38">
        <f t="shared" ref="O6:O11" si="4">N6*10%</f>
        <v>1002733.342</v>
      </c>
      <c r="P6" s="52">
        <f t="shared" ref="P6:P16" si="5">N6+O6</f>
        <v>11030066.76</v>
      </c>
      <c r="Q6" s="38">
        <f t="shared" ref="Q6:Q16" si="6">P6*12</f>
        <v>132360801.1</v>
      </c>
    </row>
    <row r="7">
      <c r="A7" s="3" t="s">
        <v>787</v>
      </c>
      <c r="B7" s="51">
        <v>1.3927125E7</v>
      </c>
      <c r="C7" s="51">
        <v>1.2411675E7</v>
      </c>
      <c r="D7" s="51">
        <v>1.3363114E7</v>
      </c>
      <c r="E7" s="51">
        <v>1.2527643E7</v>
      </c>
      <c r="F7" s="51">
        <v>1.430169E7</v>
      </c>
      <c r="G7" s="51">
        <v>1.1664468E7</v>
      </c>
      <c r="H7" s="51">
        <v>8528056.0</v>
      </c>
      <c r="I7" s="51">
        <v>1.0139368E7</v>
      </c>
      <c r="J7" s="51">
        <v>1.0288429E7</v>
      </c>
      <c r="K7" s="51">
        <v>7070256.0</v>
      </c>
      <c r="L7" s="51">
        <v>9833736.0</v>
      </c>
      <c r="M7" s="51">
        <v>1.1084411E7</v>
      </c>
      <c r="N7" s="52">
        <f t="shared" si="3"/>
        <v>11261664.25</v>
      </c>
      <c r="O7" s="38">
        <f t="shared" si="4"/>
        <v>1126166.425</v>
      </c>
      <c r="P7" s="52">
        <f t="shared" si="5"/>
        <v>12387830.68</v>
      </c>
      <c r="Q7" s="38">
        <f t="shared" si="6"/>
        <v>148653968.1</v>
      </c>
      <c r="R7" s="38">
        <f>Q6+Q7</f>
        <v>281014769.2</v>
      </c>
    </row>
    <row r="8">
      <c r="A8" s="3" t="s">
        <v>788</v>
      </c>
      <c r="B8" s="51">
        <v>1012550.0</v>
      </c>
      <c r="C8" s="51">
        <v>1012550.0</v>
      </c>
      <c r="D8" s="51">
        <v>1012550.0</v>
      </c>
      <c r="E8" s="51">
        <v>1012550.0</v>
      </c>
      <c r="F8" s="51">
        <v>1012550.0</v>
      </c>
      <c r="G8" s="51">
        <v>1012550.0</v>
      </c>
      <c r="H8" s="51">
        <v>1012550.0</v>
      </c>
      <c r="I8" s="51">
        <v>1018100.0</v>
      </c>
      <c r="J8" s="51">
        <v>1018100.0</v>
      </c>
      <c r="K8" s="51">
        <v>1018100.0</v>
      </c>
      <c r="L8" s="51">
        <v>1018100.0</v>
      </c>
      <c r="M8" s="51">
        <v>1015100.0</v>
      </c>
      <c r="N8" s="52">
        <f t="shared" si="3"/>
        <v>1014612.5</v>
      </c>
      <c r="O8" s="38">
        <f t="shared" si="4"/>
        <v>101461.25</v>
      </c>
      <c r="P8" s="52">
        <f t="shared" si="5"/>
        <v>1116073.75</v>
      </c>
      <c r="Q8" s="38">
        <f t="shared" si="6"/>
        <v>13392885</v>
      </c>
    </row>
    <row r="9">
      <c r="A9" s="3" t="s">
        <v>789</v>
      </c>
      <c r="B9" s="51">
        <v>1.27675E7</v>
      </c>
      <c r="C9" s="51">
        <v>1.27675E7</v>
      </c>
      <c r="D9" s="51">
        <v>1.27675E7</v>
      </c>
      <c r="E9" s="51">
        <v>1.27675E7</v>
      </c>
      <c r="F9" s="51">
        <v>1.27675E7</v>
      </c>
      <c r="G9" s="51">
        <v>1.27675E7</v>
      </c>
      <c r="H9" s="51">
        <v>1.27675E7</v>
      </c>
      <c r="I9" s="51">
        <v>1.27675E7</v>
      </c>
      <c r="J9" s="51">
        <v>1.27675E7</v>
      </c>
      <c r="K9" s="51">
        <v>1.27675E7</v>
      </c>
      <c r="L9" s="51">
        <v>1.27675E7</v>
      </c>
      <c r="M9" s="51">
        <v>1.27675E7</v>
      </c>
      <c r="N9" s="52">
        <f t="shared" si="3"/>
        <v>12767500</v>
      </c>
      <c r="O9" s="38">
        <f t="shared" si="4"/>
        <v>1276750</v>
      </c>
      <c r="P9" s="52">
        <f t="shared" si="5"/>
        <v>14044250</v>
      </c>
      <c r="Q9" s="38">
        <f t="shared" si="6"/>
        <v>168531000</v>
      </c>
      <c r="R9" s="38">
        <f>Q8+Q9</f>
        <v>181923885</v>
      </c>
    </row>
    <row r="10">
      <c r="A10" s="3" t="s">
        <v>790</v>
      </c>
      <c r="B10" s="51">
        <v>1805000.0</v>
      </c>
      <c r="C10" s="51">
        <v>3167100.0</v>
      </c>
      <c r="D10" s="51">
        <v>4819500.0</v>
      </c>
      <c r="E10" s="51">
        <v>3916800.0</v>
      </c>
      <c r="F10" s="51">
        <v>4834800.0</v>
      </c>
      <c r="G10" s="51">
        <v>4528800.0</v>
      </c>
      <c r="H10" s="51">
        <v>1897200.0</v>
      </c>
      <c r="I10" s="51">
        <v>3335400.0</v>
      </c>
      <c r="J10" s="51">
        <v>3320100.0</v>
      </c>
      <c r="K10" s="3" t="s">
        <v>791</v>
      </c>
      <c r="L10" s="51">
        <v>3503700.0</v>
      </c>
      <c r="N10" s="52">
        <f t="shared" si="3"/>
        <v>3512840</v>
      </c>
      <c r="O10" s="38">
        <f t="shared" si="4"/>
        <v>351284</v>
      </c>
      <c r="P10" s="52">
        <f t="shared" si="5"/>
        <v>3864124</v>
      </c>
      <c r="Q10" s="38">
        <f t="shared" si="6"/>
        <v>46369488</v>
      </c>
    </row>
    <row r="11">
      <c r="A11" s="3" t="s">
        <v>792</v>
      </c>
      <c r="B11" s="51">
        <v>3322500.0</v>
      </c>
      <c r="C11" s="51">
        <v>3322500.0</v>
      </c>
      <c r="D11" s="51">
        <v>3322500.0</v>
      </c>
      <c r="E11" s="51">
        <v>3322500.0</v>
      </c>
      <c r="F11" s="51">
        <v>3322500.0</v>
      </c>
      <c r="G11" s="51">
        <v>3322500.0</v>
      </c>
      <c r="H11" s="51">
        <v>3322500.0</v>
      </c>
      <c r="I11" s="51">
        <v>3322500.0</v>
      </c>
      <c r="J11" s="51">
        <v>3322500.0</v>
      </c>
      <c r="K11" s="51">
        <v>3322500.0</v>
      </c>
      <c r="L11" s="51">
        <v>3322500.0</v>
      </c>
      <c r="M11" s="51">
        <v>3322500.0</v>
      </c>
      <c r="N11" s="52">
        <f t="shared" si="3"/>
        <v>3322500</v>
      </c>
      <c r="O11" s="38">
        <f t="shared" si="4"/>
        <v>332250</v>
      </c>
      <c r="P11" s="52">
        <f t="shared" si="5"/>
        <v>3654750</v>
      </c>
      <c r="Q11" s="38">
        <f t="shared" si="6"/>
        <v>43857000</v>
      </c>
    </row>
    <row r="12">
      <c r="A12" s="3" t="s">
        <v>793</v>
      </c>
      <c r="B12" s="51">
        <v>247500.0</v>
      </c>
      <c r="C12" s="51">
        <v>247500.0</v>
      </c>
      <c r="D12" s="51">
        <v>247500.0</v>
      </c>
      <c r="E12" s="51">
        <v>247500.0</v>
      </c>
      <c r="F12" s="51">
        <v>247500.0</v>
      </c>
      <c r="G12" s="51">
        <v>247500.0</v>
      </c>
      <c r="H12" s="51">
        <v>247500.0</v>
      </c>
      <c r="I12" s="51">
        <v>247500.0</v>
      </c>
      <c r="J12" s="51">
        <v>247500.0</v>
      </c>
      <c r="K12" s="51">
        <v>247500.0</v>
      </c>
      <c r="L12" s="51">
        <v>247500.0</v>
      </c>
      <c r="M12" s="51">
        <v>247500.0</v>
      </c>
      <c r="N12" s="52">
        <f t="shared" si="3"/>
        <v>247500</v>
      </c>
      <c r="O12" s="38">
        <f>N12*30%</f>
        <v>74250</v>
      </c>
      <c r="P12" s="52">
        <f t="shared" si="5"/>
        <v>321750</v>
      </c>
      <c r="Q12" s="38">
        <f t="shared" si="6"/>
        <v>3861000</v>
      </c>
    </row>
    <row r="13">
      <c r="A13" s="3" t="s">
        <v>794</v>
      </c>
      <c r="B13" s="51">
        <v>633500.0</v>
      </c>
      <c r="C13" s="51">
        <v>560000.0</v>
      </c>
      <c r="D13" s="51">
        <v>427500.0</v>
      </c>
      <c r="F13" s="51">
        <v>1160000.0</v>
      </c>
      <c r="H13" s="51">
        <v>552500.0</v>
      </c>
      <c r="I13" s="51">
        <v>1075000.0</v>
      </c>
      <c r="J13" s="51">
        <v>802500.0</v>
      </c>
      <c r="K13" s="51">
        <v>1050000.0</v>
      </c>
      <c r="N13" s="52">
        <f t="shared" si="3"/>
        <v>782625</v>
      </c>
      <c r="O13" s="38">
        <f t="shared" ref="O13:O16" si="7">N13*10%</f>
        <v>78262.5</v>
      </c>
      <c r="P13" s="52">
        <f t="shared" si="5"/>
        <v>860887.5</v>
      </c>
      <c r="Q13" s="38">
        <f t="shared" si="6"/>
        <v>10330650</v>
      </c>
    </row>
    <row r="14">
      <c r="A14" s="3" t="s">
        <v>795</v>
      </c>
      <c r="B14" s="51">
        <v>3753800.0</v>
      </c>
      <c r="C14" s="51">
        <v>4334100.0</v>
      </c>
      <c r="D14" s="51">
        <v>3652200.0</v>
      </c>
      <c r="E14" s="51">
        <v>3651500.0</v>
      </c>
      <c r="F14" s="51">
        <v>3470900.0</v>
      </c>
      <c r="G14" s="51">
        <v>4120700.0</v>
      </c>
      <c r="H14" s="51">
        <v>4297900.0</v>
      </c>
      <c r="I14" s="51">
        <v>3643160.0</v>
      </c>
      <c r="J14" s="51">
        <v>4573900.0</v>
      </c>
      <c r="K14" s="51">
        <v>3595100.0</v>
      </c>
      <c r="L14" s="51">
        <v>4073600.0</v>
      </c>
      <c r="N14" s="52">
        <f t="shared" si="3"/>
        <v>3924260</v>
      </c>
      <c r="O14" s="38">
        <f t="shared" si="7"/>
        <v>392426</v>
      </c>
      <c r="P14" s="52">
        <f t="shared" si="5"/>
        <v>4316686</v>
      </c>
      <c r="Q14" s="38">
        <f t="shared" si="6"/>
        <v>51800232</v>
      </c>
    </row>
    <row r="15">
      <c r="A15" s="3" t="s">
        <v>796</v>
      </c>
      <c r="B15" s="51">
        <v>2007880.0</v>
      </c>
      <c r="C15" s="51">
        <v>2251600.0</v>
      </c>
      <c r="D15" s="51">
        <v>1969640.0</v>
      </c>
      <c r="E15" s="51">
        <v>1848500.0</v>
      </c>
      <c r="F15" s="51">
        <v>2630930.0</v>
      </c>
      <c r="G15" s="51">
        <v>750700.0</v>
      </c>
      <c r="H15" s="51">
        <v>631700.0</v>
      </c>
      <c r="I15" s="51">
        <v>1969400.0</v>
      </c>
      <c r="J15" s="51">
        <v>1149000.0</v>
      </c>
      <c r="K15" s="51">
        <v>1163000.0</v>
      </c>
      <c r="L15" s="51">
        <v>1147750.0</v>
      </c>
      <c r="N15" s="52">
        <f t="shared" si="3"/>
        <v>1592736.364</v>
      </c>
      <c r="O15" s="38">
        <f t="shared" si="7"/>
        <v>159273.6364</v>
      </c>
      <c r="P15" s="52">
        <f t="shared" si="5"/>
        <v>1752010</v>
      </c>
      <c r="Q15" s="38">
        <f t="shared" si="6"/>
        <v>21024120</v>
      </c>
    </row>
    <row r="16">
      <c r="A16" s="3" t="s">
        <v>797</v>
      </c>
      <c r="B16" s="50">
        <v>2000000.0</v>
      </c>
      <c r="C16" s="50">
        <v>2000000.0</v>
      </c>
      <c r="D16" s="50">
        <v>2000000.0</v>
      </c>
      <c r="E16" s="50">
        <v>2000000.0</v>
      </c>
      <c r="F16" s="50">
        <v>2000000.0</v>
      </c>
      <c r="G16" s="50">
        <v>2000000.0</v>
      </c>
      <c r="H16" s="50">
        <v>2000000.0</v>
      </c>
      <c r="I16" s="50">
        <v>2000000.0</v>
      </c>
      <c r="J16" s="50">
        <v>2000000.0</v>
      </c>
      <c r="K16" s="50">
        <v>2000000.0</v>
      </c>
      <c r="L16" s="50">
        <v>2000000.0</v>
      </c>
      <c r="M16" s="50">
        <v>2000000.0</v>
      </c>
      <c r="N16" s="38">
        <f t="shared" si="3"/>
        <v>2000000</v>
      </c>
      <c r="O16" s="38">
        <f t="shared" si="7"/>
        <v>200000</v>
      </c>
      <c r="P16" s="38">
        <f t="shared" si="5"/>
        <v>2200000</v>
      </c>
      <c r="Q16" s="38">
        <f t="shared" si="6"/>
        <v>26400000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6" max="6" width="14.25"/>
  </cols>
  <sheetData>
    <row r="1">
      <c r="A1" s="3" t="s">
        <v>798</v>
      </c>
      <c r="E1" s="3" t="s">
        <v>31</v>
      </c>
    </row>
    <row r="2">
      <c r="A2" s="3" t="s">
        <v>799</v>
      </c>
      <c r="B2" s="3" t="s">
        <v>79</v>
      </c>
      <c r="E2" s="3" t="s">
        <v>203</v>
      </c>
      <c r="F2" s="3">
        <v>7500000.0</v>
      </c>
    </row>
    <row r="3">
      <c r="A3" s="3" t="s">
        <v>800</v>
      </c>
      <c r="B3" s="53">
        <v>8.75E8</v>
      </c>
      <c r="E3" s="3" t="s">
        <v>801</v>
      </c>
      <c r="F3" s="3">
        <v>2.5E7</v>
      </c>
    </row>
    <row r="4">
      <c r="A4" s="3" t="s">
        <v>802</v>
      </c>
      <c r="B4" s="53">
        <v>6.5E8</v>
      </c>
    </row>
    <row r="5">
      <c r="B5" s="33">
        <f>SUM(B3:B4)</f>
        <v>1525000000</v>
      </c>
    </row>
    <row r="6">
      <c r="B6" s="53">
        <f>SUM(APBS!D2:D35)</f>
        <v>1619198653</v>
      </c>
    </row>
    <row r="7">
      <c r="B7" s="33">
        <f>B6-B5</f>
        <v>94198653.2</v>
      </c>
    </row>
    <row r="8">
      <c r="E8" s="3" t="s">
        <v>20</v>
      </c>
      <c r="F8" s="50">
        <v>6.5E7</v>
      </c>
    </row>
    <row r="9">
      <c r="E9" s="3" t="s">
        <v>11</v>
      </c>
      <c r="F9" s="50">
        <v>1.4E8</v>
      </c>
    </row>
    <row r="10">
      <c r="E10" s="3" t="s">
        <v>17</v>
      </c>
      <c r="F10" s="50">
        <v>1.1E8</v>
      </c>
    </row>
    <row r="11">
      <c r="E11" s="3" t="s">
        <v>23</v>
      </c>
      <c r="F11" s="50">
        <v>9.0E7</v>
      </c>
    </row>
    <row r="12">
      <c r="E12" s="3" t="s">
        <v>803</v>
      </c>
      <c r="F12" s="38">
        <v>1.2291E8</v>
      </c>
    </row>
    <row r="13">
      <c r="F13" s="38">
        <f>SUM(F8:F12)</f>
        <v>527910000</v>
      </c>
    </row>
    <row r="14">
      <c r="E14" s="3" t="s">
        <v>122</v>
      </c>
      <c r="F14" s="38">
        <f>B4-F13</f>
        <v>122090000</v>
      </c>
    </row>
    <row r="18">
      <c r="D18" s="3">
        <v>1.553581796E9</v>
      </c>
    </row>
    <row r="19">
      <c r="D19" s="33">
        <f>B5-D18</f>
        <v>-28581796</v>
      </c>
    </row>
  </sheetData>
  <drawing r:id="rId1"/>
</worksheet>
</file>